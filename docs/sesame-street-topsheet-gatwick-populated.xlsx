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Gatwick Airport</t>
        </is>
      </c>
      <c r="C5" s="8" t="inlineStr">
        <is>
          <t>Full deal name</t>
        </is>
      </c>
    </row>
    <row r="6">
      <c r="A6" s="6" t="inlineStr">
        <is>
          <t>Borrower Legal Name *</t>
        </is>
      </c>
      <c r="B6" s="7" t="inlineStr">
        <is>
          <t>Gatwick Airport Limited</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inlineStr">
        <is>
          <t>5th Floor Destinations Place, Gatwick Airport, Gatwick, West Sussex, RH6 0NP</t>
        </is>
      </c>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Airport</t>
        </is>
      </c>
      <c r="C14" s="8" t="inlineStr">
        <is>
          <t>Select from dropdown</t>
        </is>
      </c>
    </row>
    <row r="15">
      <c r="A15" s="9" t="inlineStr">
        <is>
          <t>Sub-Sector</t>
        </is>
      </c>
      <c r="B15" s="7" t="inlineStr">
        <is>
          <t>Single-Runway Origin &amp; Destination Airport</t>
        </is>
      </c>
      <c r="C15" s="8" t="inlineStr">
        <is>
          <t>e.g. Offshore Wind, Hyperscale Colocation</t>
        </is>
      </c>
    </row>
    <row r="16">
      <c r="A16" s="6" t="inlineStr">
        <is>
          <t>Deal Type *</t>
        </is>
      </c>
      <c r="B16" s="7" t="inlineStr">
        <is>
          <t>Infrastructure Debt</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VINCI Airports / Global Infrastructure Partners</t>
        </is>
      </c>
      <c r="C22" s="8" t="inlineStr">
        <is>
          <t>Lead sponsor / equity investor</t>
        </is>
      </c>
    </row>
    <row r="23">
      <c r="A23" s="9" t="inlineStr">
        <is>
          <t>Sponsor Fund</t>
        </is>
      </c>
      <c r="B23" s="7" t="n"/>
      <c r="C23" s="8" t="inlineStr">
        <is>
          <t>Fund vehicle name</t>
        </is>
      </c>
    </row>
    <row r="24">
      <c r="A24" s="9" t="inlineStr">
        <is>
          <t>Parent Group</t>
        </is>
      </c>
      <c r="B24" s="7" t="inlineStr">
        <is>
          <t>VINCI SA (50.01%) / Blackrock GIP (49.99%)</t>
        </is>
      </c>
      <c r="C24" s="8" t="inlineStr">
        <is>
          <t>Ultimate parent</t>
        </is>
      </c>
    </row>
    <row r="25">
      <c r="A25" s="9" t="inlineStr">
        <is>
          <t>Ownership Structure</t>
        </is>
      </c>
      <c r="B25" s="7" t="inlineStr">
        <is>
          <t>Gatwick Airport Limited is 100% owned by Ivy Holdco Limited (borrower entity under the CTA). Ivy Holdco is ultimately owned 50.01% by VINCI Airports (a subsidiary of VINCI SA) and 49.99% by Global Infrastructure Partners (part of Blackrock). VINCI Airports acquired its majority stake in 2019 from GIP.</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millions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2019-04-01</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2049-07-05</t>
        </is>
      </c>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P3-V4-D3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asset_life</t>
        </is>
      </c>
      <c r="C63" s="8" t="inlineStr">
        <is>
          <t>concession | primary_contract | asset_life</t>
        </is>
      </c>
    </row>
    <row r="64">
      <c r="A64" s="9" t="inlineStr">
        <is>
          <t>Tail Anchor Date</t>
        </is>
      </c>
      <c r="B64" s="7" t="inlineStr">
        <is>
          <t>2060-01-01</t>
        </is>
      </c>
      <c r="C64" s="8" t="inlineStr">
        <is>
          <t>End of concession OR end of primary revenue contract (YYYY-MM-DD)</t>
        </is>
      </c>
    </row>
    <row r="65">
      <c r="A65" s="9" t="inlineStr">
        <is>
          <t>Tail Anchor Label</t>
        </is>
      </c>
      <c r="B65" s="7" t="inlineStr">
        <is>
          <t>Economic useful life of the airport infrastructure; no concession expiry (freehold-owned)</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Gatwick Airport is a privately-owned freehold asset with no concession expiry. Revenue is anchored by long-run airline market depth at a hub airport. Infrastructure asset life assumed to 2060+ for tail computation purposes. The airport is refinanceable at any point.</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deep_market_repricing</t>
        </is>
      </c>
      <c r="C70" s="8" t="inlineStr">
        <is>
          <t>deep_market_repricing | bilateral_negotiation | competitive_tender_asset_retained | competitive_tender_clean_sheet | hand_back_zero_value | no_anchor_contract</t>
        </is>
      </c>
    </row>
    <row r="71">
      <c r="A71" s="9" t="inlineStr">
        <is>
          <t>Debt Repayment From Renewal %</t>
        </is>
      </c>
      <c r="B71" s="7" t="n">
        <v>55</v>
      </c>
      <c r="C71" s="8" t="inlineStr">
        <is>
          <t>% of debt principal scheduled to be repaid from post-renewal cashflows. Should be 0 for hand_back_zero_value and competitive_tender_clean_sheet.</t>
        </is>
      </c>
    </row>
    <row r="72">
      <c r="A72" s="9" t="inlineStr">
        <is>
          <t>Renewal Notes</t>
        </is>
      </c>
      <c r="B72" s="7" t="inlineStr">
        <is>
          <t>Airline contract repricing occurs at each regulatory review (Q7 regulatory period ends 2026). Airlines have clear alternative hub options (Heathrow, Stansted, Luton) creating genuine market pricing. 55% of debt principal is expected to be repaid from post-current-contract cashflows, which is acceptable given market depth.</t>
        </is>
      </c>
      <c r="C72" s="8" t="inlineStr">
        <is>
          <t>Narrative explaining the renewal assumptions and any mitigants</t>
        </is>
      </c>
    </row>
    <row r="73"/>
    <row r="74">
      <c r="A74" s="4" t="inlineStr">
        <is>
          <t>RATINGS</t>
        </is>
      </c>
      <c r="B74" s="27" t="n"/>
      <c r="C74" s="28" t="n"/>
    </row>
    <row r="75">
      <c r="A75" s="9" t="inlineStr">
        <is>
          <t>Moody's Rating</t>
        </is>
      </c>
      <c r="B75" s="7" t="inlineStr">
        <is>
          <t>Baa2</t>
        </is>
      </c>
      <c r="C75" s="8" t="inlineStr">
        <is>
          <t>e.g. Baa2, Ba1, or n/a</t>
        </is>
      </c>
    </row>
    <row r="76">
      <c r="A76" s="9" t="inlineStr">
        <is>
          <t>Moody's Outlook</t>
        </is>
      </c>
      <c r="B76" s="7" t="inlineStr">
        <is>
          <t>stable</t>
        </is>
      </c>
      <c r="C76" s="8" t="inlineStr">
        <is>
          <t>stable, positive, negative</t>
        </is>
      </c>
    </row>
    <row r="77">
      <c r="A77" s="9" t="inlineStr">
        <is>
          <t>S&amp;P Rating</t>
        </is>
      </c>
      <c r="B77" s="7" t="inlineStr">
        <is>
          <t>BBB</t>
        </is>
      </c>
      <c r="C77" s="8" t="inlineStr">
        <is>
          <t>e.g. BBB, BB+, or n/a</t>
        </is>
      </c>
    </row>
    <row r="78">
      <c r="A78" s="9" t="inlineStr">
        <is>
          <t>S&amp;P Outlook</t>
        </is>
      </c>
      <c r="B78" s="7" t="inlineStr">
        <is>
          <t>stable</t>
        </is>
      </c>
      <c r="C78" s="8" t="inlineStr">
        <is>
          <t>stable, positive, negative</t>
        </is>
      </c>
    </row>
    <row r="79">
      <c r="A79" s="9" t="inlineStr">
        <is>
          <t>Fitch Rating</t>
        </is>
      </c>
      <c r="B79" s="7" t="inlineStr">
        <is>
          <t>BBB+</t>
        </is>
      </c>
      <c r="C79" s="8" t="inlineStr">
        <is>
          <t>e.g. BBB, or n/a</t>
        </is>
      </c>
    </row>
    <row r="80">
      <c r="A80" s="9" t="inlineStr">
        <is>
          <t>Fitch Outlook</t>
        </is>
      </c>
      <c r="B80" s="7" t="inlineStr">
        <is>
          <t>stable</t>
        </is>
      </c>
      <c r="C80" s="8" t="inlineStr">
        <is>
          <t>stable, positive, negative</t>
        </is>
      </c>
    </row>
    <row r="81">
      <c r="A81" s="6" t="inlineStr">
        <is>
          <t>Internal Credit Score *</t>
        </is>
      </c>
      <c r="B81" s="7" t="inlineStr">
        <is>
          <t>BBB</t>
        </is>
      </c>
      <c r="C81" s="8" t="inlineStr">
        <is>
          <t>Required if no external rating</t>
        </is>
      </c>
    </row>
    <row r="82"/>
    <row r="83">
      <c r="A83" s="4" t="inlineStr">
        <is>
          <t>VALUATION &amp; EQUITY</t>
        </is>
      </c>
      <c r="B83" s="27" t="n"/>
      <c r="C83" s="28" t="n"/>
    </row>
    <row r="84">
      <c r="A84" s="6" t="inlineStr">
        <is>
          <t>Enterprise Value *</t>
        </is>
      </c>
      <c r="B84" s="7" t="n">
        <v>6500000000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Gatwick Airport Limited</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3364600000</v>
      </c>
      <c r="C91" s="8" t="inlineStr">
        <is>
          <t>Total committed across all tranches</t>
        </is>
      </c>
    </row>
    <row r="92">
      <c r="A92" s="6" t="inlineStr">
        <is>
          <t>Our Exposure *</t>
        </is>
      </c>
      <c r="B92" s="7" t="n">
        <v>125000000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inlineStr">
        <is>
          <t>semi_annual</t>
        </is>
      </c>
      <c r="C113" s="8" t="inlineStr">
        <is>
          <t>semi_annual, quarterly, annual</t>
        </is>
      </c>
    </row>
    <row r="114">
      <c r="A114" s="9" t="inlineStr">
        <is>
          <t>Distribution Calculation Basis</t>
        </is>
      </c>
      <c r="B114" s="7" t="inlineStr">
        <is>
          <t>cashflow_available_for_distribution</t>
        </is>
      </c>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b">
        <v>1</v>
      </c>
      <c r="C116" s="8" t="inlineStr">
        <is>
          <t>Yes/No — is a mandatory cash sweep applied before distribution test?</t>
        </is>
      </c>
    </row>
    <row r="117">
      <c r="A117" s="9" t="inlineStr">
        <is>
          <t>Sweep Included in DSCR</t>
        </is>
      </c>
      <c r="B117" s="7" t="b">
        <v>0</v>
      </c>
      <c r="C117" s="8" t="inlineStr">
        <is>
          <t>Yes/No — is the cash sweep included in the DSCR calculation?</t>
        </is>
      </c>
    </row>
    <row r="118">
      <c r="A118" s="9" t="inlineStr">
        <is>
          <t>Trapped Cash Mechanism</t>
        </is>
      </c>
      <c r="B118" s="7" t="inlineStr">
        <is>
          <t>swept_to_debt</t>
        </is>
      </c>
      <c r="C118" s="8" t="inlineStr">
        <is>
          <t>retained_in_proceeds_account | held_in_lockup_account | swept_to_debt | released_after_cure | swept_then_released</t>
        </is>
      </c>
    </row>
    <row r="119">
      <c r="A119" s="9" t="inlineStr">
        <is>
          <t>Trapped Cash Release Conditions</t>
        </is>
      </c>
      <c r="B119" s="7" t="inlineStr">
        <is>
          <t>Released after 2 successive Calculation Dates where all conditions satisfied</t>
        </is>
      </c>
      <c r="C119" s="8" t="inlineStr">
        <is>
          <t>Narrative: e.g. released after 2 successive Calculation Dates where all conditions satisfied</t>
        </is>
      </c>
    </row>
    <row r="120">
      <c r="A120" s="9" t="inlineStr">
        <is>
          <t>Lock-Up Cure Window (days)</t>
        </is>
      </c>
      <c r="B120" s="7" t="n">
        <v>90</v>
      </c>
      <c r="C120" s="8" t="inlineStr">
        <is>
          <t>Integer: days after Calculation Date to cure (e.g. 90, 45)</t>
        </is>
      </c>
    </row>
    <row r="121">
      <c r="A121" s="9" t="inlineStr">
        <is>
          <t>Lock-Up Escalation Periods</t>
        </is>
      </c>
      <c r="B121" s="7" t="n">
        <v>3</v>
      </c>
      <c r="C121" s="8" t="inlineStr">
        <is>
          <t>Integer: consecutive lock-up periods before escalation (e.g. 3)</t>
        </is>
      </c>
    </row>
    <row r="122">
      <c r="A122" s="9" t="inlineStr">
        <is>
          <t>Lock-Up Escalation Consequence</t>
        </is>
      </c>
      <c r="B122" s="7" t="inlineStr">
        <is>
          <t>excess_cashflow_sweep</t>
        </is>
      </c>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improving_rapidly</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5"/>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Class A 6.125% 2026 Bond</t>
        </is>
      </c>
      <c r="B4" s="7" t="inlineStr">
        <is>
          <t>senior_term</t>
        </is>
      </c>
      <c r="C4" s="7" t="inlineStr">
        <is>
          <t>bond</t>
        </is>
      </c>
      <c r="D4" s="7" t="inlineStr">
        <is>
          <t>Senior Secured</t>
        </is>
      </c>
      <c r="E4" s="7" t="inlineStr">
        <is>
          <t>Class A</t>
        </is>
      </c>
      <c r="F4" s="7" t="n">
        <v>300000000</v>
      </c>
      <c r="G4" s="7" t="n">
        <v>300000000</v>
      </c>
      <c r="H4" s="7" t="inlineStr">
        <is>
          <t>GBP</t>
        </is>
      </c>
      <c r="I4" s="7" t="n">
        <v>612</v>
      </c>
      <c r="J4" s="7" t="inlineStr">
        <is>
          <t>Fixed</t>
        </is>
      </c>
      <c r="K4" s="7" t="inlineStr">
        <is>
          <t>fixed</t>
        </is>
      </c>
      <c r="L4" s="7" t="inlineStr">
        <is>
          <t>2026-03-02</t>
        </is>
      </c>
      <c r="M4" s="7" t="inlineStr">
        <is>
          <t>bullet</t>
        </is>
      </c>
      <c r="N4" s="7" t="n"/>
      <c r="O4" s="7" t="n">
        <v>10</v>
      </c>
      <c r="P4" s="7" t="n"/>
      <c r="Q4" s="7" t="inlineStr">
        <is>
          <t>active</t>
        </is>
      </c>
      <c r="R4" s="7" t="n"/>
      <c r="S4" s="7" t="inlineStr">
        <is>
          <t>opco</t>
        </is>
      </c>
      <c r="T4" s="7" t="inlineStr">
        <is>
          <t>Gatwick Funding Limited</t>
        </is>
      </c>
      <c r="U4" s="7" t="n">
        <v>100</v>
      </c>
      <c r="V4" s="7" t="n">
        <v>1</v>
      </c>
      <c r="W4" s="7" t="inlineStr">
        <is>
          <t>consolidated</t>
        </is>
      </c>
      <c r="X4" s="7" t="n"/>
      <c r="Y4" s="7" t="b">
        <v>0</v>
      </c>
      <c r="Z4" s="7" t="n">
        <v>1</v>
      </c>
      <c r="AA4" s="7" t="n">
        <v>612</v>
      </c>
      <c r="AB4" s="7" t="n">
        <v>400</v>
      </c>
      <c r="AC4" s="7" t="n">
        <v>212</v>
      </c>
      <c r="AD4" s="7" t="n">
        <v>175</v>
      </c>
      <c r="AE4" s="7" t="n"/>
      <c r="AF4" s="7" t="n"/>
      <c r="AG4" s="7" t="n"/>
      <c r="AH4" s="7" t="n"/>
    </row>
    <row r="5">
      <c r="A5" s="7" t="inlineStr">
        <is>
          <t>Class A 2.5% 2030 Bond</t>
        </is>
      </c>
      <c r="B5" s="7" t="inlineStr">
        <is>
          <t>senior_term</t>
        </is>
      </c>
      <c r="C5" s="7" t="inlineStr">
        <is>
          <t>bond</t>
        </is>
      </c>
      <c r="D5" s="7" t="inlineStr">
        <is>
          <t>Senior Secured</t>
        </is>
      </c>
      <c r="E5" s="7" t="inlineStr">
        <is>
          <t>Class A</t>
        </is>
      </c>
      <c r="F5" s="7" t="n">
        <v>300000000</v>
      </c>
      <c r="G5" s="7" t="n">
        <v>300000000</v>
      </c>
      <c r="H5" s="7" t="inlineStr">
        <is>
          <t>GBP</t>
        </is>
      </c>
      <c r="I5" s="7" t="n">
        <v>250</v>
      </c>
      <c r="J5" s="7" t="inlineStr">
        <is>
          <t>Fixed</t>
        </is>
      </c>
      <c r="K5" s="7" t="inlineStr">
        <is>
          <t>fixed</t>
        </is>
      </c>
      <c r="L5" s="7" t="inlineStr">
        <is>
          <t>2030-04-15</t>
        </is>
      </c>
      <c r="M5" s="7" t="inlineStr">
        <is>
          <t>bullet</t>
        </is>
      </c>
      <c r="N5" s="7" t="n"/>
      <c r="O5" s="7" t="n">
        <v>10</v>
      </c>
      <c r="P5" s="7" t="n"/>
      <c r="Q5" s="7" t="inlineStr">
        <is>
          <t>active</t>
        </is>
      </c>
      <c r="R5" s="7" t="n"/>
      <c r="S5" s="7" t="inlineStr">
        <is>
          <t>opco</t>
        </is>
      </c>
      <c r="T5" s="7" t="inlineStr">
        <is>
          <t>Gatwick Funding Limited</t>
        </is>
      </c>
      <c r="U5" s="7" t="n">
        <v>100</v>
      </c>
      <c r="V5" s="7" t="n">
        <v>1</v>
      </c>
      <c r="W5" s="7" t="inlineStr">
        <is>
          <t>consolidated</t>
        </is>
      </c>
      <c r="X5" s="7" t="n"/>
      <c r="Y5" s="7" t="b">
        <v>0</v>
      </c>
      <c r="Z5" s="7" t="n">
        <v>1</v>
      </c>
      <c r="AA5" s="7" t="n">
        <v>250</v>
      </c>
      <c r="AB5" s="7" t="n">
        <v>120</v>
      </c>
      <c r="AC5" s="7" t="n">
        <v>130</v>
      </c>
      <c r="AD5" s="7" t="n">
        <v>115</v>
      </c>
      <c r="AE5" s="7" t="n"/>
      <c r="AF5" s="7" t="n"/>
      <c r="AG5" s="7" t="n"/>
      <c r="AH5" s="7" t="n"/>
    </row>
    <row r="6">
      <c r="A6" s="7" t="inlineStr">
        <is>
          <t>Class A SLB 3.625% 2033 Bond</t>
        </is>
      </c>
      <c r="B6" s="7" t="inlineStr">
        <is>
          <t>senior_term</t>
        </is>
      </c>
      <c r="C6" s="7" t="inlineStr">
        <is>
          <t>bond</t>
        </is>
      </c>
      <c r="D6" s="7" t="inlineStr">
        <is>
          <t>Senior Secured</t>
        </is>
      </c>
      <c r="E6" s="7" t="inlineStr">
        <is>
          <t>Class A</t>
        </is>
      </c>
      <c r="F6" s="7" t="n">
        <v>627200000</v>
      </c>
      <c r="G6" s="7" t="n">
        <v>627200000</v>
      </c>
      <c r="H6" s="7" t="inlineStr">
        <is>
          <t>GBP</t>
        </is>
      </c>
      <c r="I6" s="7" t="n">
        <v>362</v>
      </c>
      <c r="J6" s="7" t="inlineStr">
        <is>
          <t>Fixed</t>
        </is>
      </c>
      <c r="K6" s="7" t="inlineStr">
        <is>
          <t>fixed</t>
        </is>
      </c>
      <c r="L6" s="7" t="inlineStr">
        <is>
          <t>2033-10-16</t>
        </is>
      </c>
      <c r="M6" s="7" t="inlineStr">
        <is>
          <t>bullet</t>
        </is>
      </c>
      <c r="N6" s="7" t="n"/>
      <c r="O6" s="7" t="n">
        <v>10</v>
      </c>
      <c r="P6" s="7" t="n"/>
      <c r="Q6" s="7" t="inlineStr">
        <is>
          <t>active</t>
        </is>
      </c>
      <c r="R6" s="7" t="n"/>
      <c r="S6" s="7" t="inlineStr">
        <is>
          <t>opco</t>
        </is>
      </c>
      <c r="T6" s="7" t="inlineStr">
        <is>
          <t>Gatwick Funding Limited</t>
        </is>
      </c>
      <c r="U6" s="7" t="n">
        <v>100</v>
      </c>
      <c r="V6" s="7" t="n">
        <v>1</v>
      </c>
      <c r="W6" s="7" t="inlineStr">
        <is>
          <t>consolidated</t>
        </is>
      </c>
      <c r="X6" s="7" t="n"/>
      <c r="Y6" s="7" t="b">
        <v>0</v>
      </c>
      <c r="Z6" s="7" t="n">
        <v>1</v>
      </c>
      <c r="AA6" s="7" t="n">
        <v>362</v>
      </c>
      <c r="AB6" s="7" t="n">
        <v>225</v>
      </c>
      <c r="AC6" s="7" t="n">
        <v>137</v>
      </c>
      <c r="AD6" s="7" t="n">
        <v>150</v>
      </c>
      <c r="AE6" s="7" t="n"/>
      <c r="AF6" s="7" t="n"/>
      <c r="AG6" s="7" t="n"/>
      <c r="AH6" s="7" t="n"/>
    </row>
    <row r="7">
      <c r="A7" s="7" t="inlineStr">
        <is>
          <t>Class A 4.625% 2034 Bond</t>
        </is>
      </c>
      <c r="B7" s="7" t="inlineStr">
        <is>
          <t>senior_term</t>
        </is>
      </c>
      <c r="C7" s="7" t="inlineStr">
        <is>
          <t>bond</t>
        </is>
      </c>
      <c r="D7" s="7" t="inlineStr">
        <is>
          <t>Senior Secured</t>
        </is>
      </c>
      <c r="E7" s="7" t="inlineStr">
        <is>
          <t>Class A</t>
        </is>
      </c>
      <c r="F7" s="7" t="n">
        <v>350000000</v>
      </c>
      <c r="G7" s="7" t="n">
        <v>350000000</v>
      </c>
      <c r="H7" s="7" t="inlineStr">
        <is>
          <t>GBP</t>
        </is>
      </c>
      <c r="I7" s="7" t="n">
        <v>462</v>
      </c>
      <c r="J7" s="7" t="inlineStr">
        <is>
          <t>Fixed</t>
        </is>
      </c>
      <c r="K7" s="7" t="inlineStr">
        <is>
          <t>fixed</t>
        </is>
      </c>
      <c r="L7" s="7" t="inlineStr">
        <is>
          <t>2034-03-27</t>
        </is>
      </c>
      <c r="M7" s="7" t="inlineStr">
        <is>
          <t>bullet</t>
        </is>
      </c>
      <c r="N7" s="7" t="n"/>
      <c r="O7" s="7" t="n">
        <v>10</v>
      </c>
      <c r="P7" s="7" t="n"/>
      <c r="Q7" s="7" t="inlineStr">
        <is>
          <t>active</t>
        </is>
      </c>
      <c r="R7" s="7" t="n"/>
      <c r="S7" s="7" t="inlineStr">
        <is>
          <t>opco</t>
        </is>
      </c>
      <c r="T7" s="7" t="inlineStr">
        <is>
          <t>Gatwick Funding Limited</t>
        </is>
      </c>
      <c r="U7" s="7" t="n">
        <v>100</v>
      </c>
      <c r="V7" s="7" t="n">
        <v>1</v>
      </c>
      <c r="W7" s="7" t="inlineStr">
        <is>
          <t>consolidated</t>
        </is>
      </c>
      <c r="X7" s="7" t="n"/>
      <c r="Y7" s="7" t="b">
        <v>0</v>
      </c>
      <c r="Z7" s="7" t="n">
        <v>1</v>
      </c>
      <c r="AA7" s="7" t="n">
        <v>462</v>
      </c>
      <c r="AB7" s="7" t="n">
        <v>300</v>
      </c>
      <c r="AC7" s="7" t="n">
        <v>162</v>
      </c>
      <c r="AD7" s="7" t="n">
        <v>150</v>
      </c>
      <c r="AE7" s="7" t="n"/>
      <c r="AF7" s="7" t="n"/>
      <c r="AG7" s="7" t="n"/>
      <c r="AH7" s="7" t="n"/>
    </row>
    <row r="8">
      <c r="A8" s="7" t="inlineStr">
        <is>
          <t>Class A 5.75% 2037 Bond</t>
        </is>
      </c>
      <c r="B8" s="7" t="inlineStr">
        <is>
          <t>senior_term</t>
        </is>
      </c>
      <c r="C8" s="7" t="inlineStr">
        <is>
          <t>bond</t>
        </is>
      </c>
      <c r="D8" s="7" t="inlineStr">
        <is>
          <t>Senior Secured</t>
        </is>
      </c>
      <c r="E8" s="7" t="inlineStr">
        <is>
          <t>Class A</t>
        </is>
      </c>
      <c r="F8" s="7" t="n">
        <v>300000000</v>
      </c>
      <c r="G8" s="7" t="n">
        <v>300000000</v>
      </c>
      <c r="H8" s="7" t="inlineStr">
        <is>
          <t>GBP</t>
        </is>
      </c>
      <c r="I8" s="7" t="n">
        <v>575</v>
      </c>
      <c r="J8" s="7" t="inlineStr">
        <is>
          <t>Fixed</t>
        </is>
      </c>
      <c r="K8" s="7" t="inlineStr">
        <is>
          <t>fixed</t>
        </is>
      </c>
      <c r="L8" s="7" t="inlineStr">
        <is>
          <t>2037-01-20</t>
        </is>
      </c>
      <c r="M8" s="7" t="inlineStr">
        <is>
          <t>bullet</t>
        </is>
      </c>
      <c r="N8" s="7" t="n"/>
      <c r="O8" s="7" t="n">
        <v>10</v>
      </c>
      <c r="P8" s="7" t="n"/>
      <c r="Q8" s="7" t="inlineStr">
        <is>
          <t>active</t>
        </is>
      </c>
      <c r="R8" s="7" t="n"/>
      <c r="S8" s="7" t="inlineStr">
        <is>
          <t>opco</t>
        </is>
      </c>
      <c r="T8" s="7" t="inlineStr">
        <is>
          <t>Gatwick Funding Limited</t>
        </is>
      </c>
      <c r="U8" s="7" t="n">
        <v>100</v>
      </c>
      <c r="V8" s="7" t="n">
        <v>1</v>
      </c>
      <c r="W8" s="7" t="inlineStr">
        <is>
          <t>consolidated</t>
        </is>
      </c>
      <c r="X8" s="7" t="n"/>
      <c r="Y8" s="7" t="b">
        <v>0</v>
      </c>
      <c r="Z8" s="7" t="n">
        <v>1</v>
      </c>
      <c r="AA8" s="7" t="n">
        <v>575</v>
      </c>
      <c r="AB8" s="7" t="n">
        <v>350</v>
      </c>
      <c r="AC8" s="7" t="n">
        <v>225</v>
      </c>
      <c r="AD8" s="7" t="n">
        <v>200</v>
      </c>
      <c r="AE8" s="7" t="n"/>
      <c r="AF8" s="7" t="n"/>
      <c r="AG8" s="7" t="n"/>
      <c r="AH8" s="7" t="n"/>
    </row>
    <row r="9">
      <c r="A9" s="7" t="inlineStr">
        <is>
          <t>Class A 3.125% 2039 Bond</t>
        </is>
      </c>
      <c r="B9" s="7" t="inlineStr">
        <is>
          <t>senior_term</t>
        </is>
      </c>
      <c r="C9" s="7" t="inlineStr">
        <is>
          <t>bond</t>
        </is>
      </c>
      <c r="D9" s="7" t="inlineStr">
        <is>
          <t>Senior Secured</t>
        </is>
      </c>
      <c r="E9" s="7" t="inlineStr">
        <is>
          <t>Class A</t>
        </is>
      </c>
      <c r="F9" s="7" t="n">
        <v>350000000</v>
      </c>
      <c r="G9" s="7" t="n">
        <v>350000000</v>
      </c>
      <c r="H9" s="7" t="inlineStr">
        <is>
          <t>GBP</t>
        </is>
      </c>
      <c r="I9" s="7" t="n">
        <v>312</v>
      </c>
      <c r="J9" s="7" t="inlineStr">
        <is>
          <t>Fixed</t>
        </is>
      </c>
      <c r="K9" s="7" t="inlineStr">
        <is>
          <t>fixed</t>
        </is>
      </c>
      <c r="L9" s="7" t="inlineStr">
        <is>
          <t>2039-09-28</t>
        </is>
      </c>
      <c r="M9" s="7" t="inlineStr">
        <is>
          <t>bullet</t>
        </is>
      </c>
      <c r="N9" s="7" t="n"/>
      <c r="O9" s="7" t="n">
        <v>10</v>
      </c>
      <c r="P9" s="7" t="n"/>
      <c r="Q9" s="7" t="inlineStr">
        <is>
          <t>active</t>
        </is>
      </c>
      <c r="R9" s="7" t="n"/>
      <c r="S9" s="7" t="inlineStr">
        <is>
          <t>opco</t>
        </is>
      </c>
      <c r="T9" s="7" t="inlineStr">
        <is>
          <t>Gatwick Funding Limited</t>
        </is>
      </c>
      <c r="U9" s="7" t="n">
        <v>100</v>
      </c>
      <c r="V9" s="7" t="n">
        <v>1</v>
      </c>
      <c r="W9" s="7" t="inlineStr">
        <is>
          <t>consolidated</t>
        </is>
      </c>
      <c r="X9" s="7" t="n"/>
      <c r="Y9" s="7" t="b">
        <v>0</v>
      </c>
      <c r="Z9" s="7" t="n">
        <v>1</v>
      </c>
      <c r="AA9" s="7" t="n">
        <v>312</v>
      </c>
      <c r="AB9" s="7" t="n">
        <v>230</v>
      </c>
      <c r="AC9" s="7" t="n">
        <v>82</v>
      </c>
      <c r="AD9" s="7" t="n">
        <v>75</v>
      </c>
      <c r="AE9" s="7" t="n"/>
      <c r="AF9" s="7" t="n"/>
      <c r="AG9" s="7" t="n"/>
      <c r="AH9" s="7" t="n"/>
    </row>
    <row r="10">
      <c r="A10" s="7" t="inlineStr">
        <is>
          <t>Class A 5.5% 2040 Bond</t>
        </is>
      </c>
      <c r="B10" s="7" t="inlineStr">
        <is>
          <t>senior_term</t>
        </is>
      </c>
      <c r="C10" s="7" t="inlineStr">
        <is>
          <t>bond</t>
        </is>
      </c>
      <c r="D10" s="7" t="inlineStr">
        <is>
          <t>Senior Secured</t>
        </is>
      </c>
      <c r="E10" s="7" t="inlineStr">
        <is>
          <t>Class A</t>
        </is>
      </c>
      <c r="F10" s="7" t="n">
        <v>250000000</v>
      </c>
      <c r="G10" s="7" t="n">
        <v>250000000</v>
      </c>
      <c r="H10" s="7" t="inlineStr">
        <is>
          <t>GBP</t>
        </is>
      </c>
      <c r="I10" s="7" t="n">
        <v>550</v>
      </c>
      <c r="J10" s="7" t="inlineStr">
        <is>
          <t>Fixed</t>
        </is>
      </c>
      <c r="K10" s="7" t="inlineStr">
        <is>
          <t>fixed</t>
        </is>
      </c>
      <c r="L10" s="7" t="inlineStr">
        <is>
          <t>2040-04-04</t>
        </is>
      </c>
      <c r="M10" s="7" t="inlineStr">
        <is>
          <t>bullet</t>
        </is>
      </c>
      <c r="N10" s="7" t="n"/>
      <c r="O10" s="7" t="n">
        <v>10</v>
      </c>
      <c r="P10" s="7" t="n"/>
      <c r="Q10" s="7" t="inlineStr">
        <is>
          <t>active</t>
        </is>
      </c>
      <c r="R10" s="7" t="n"/>
      <c r="S10" s="7" t="inlineStr">
        <is>
          <t>opco</t>
        </is>
      </c>
      <c r="T10" s="7" t="inlineStr">
        <is>
          <t>Gatwick Funding Limited</t>
        </is>
      </c>
      <c r="U10" s="7" t="n">
        <v>100</v>
      </c>
      <c r="V10" s="7" t="n">
        <v>1</v>
      </c>
      <c r="W10" s="7" t="inlineStr">
        <is>
          <t>consolidated</t>
        </is>
      </c>
      <c r="X10" s="7" t="n"/>
      <c r="Y10" s="7" t="b">
        <v>0</v>
      </c>
      <c r="Z10" s="7" t="n">
        <v>1</v>
      </c>
      <c r="AA10" s="7" t="n">
        <v>550</v>
      </c>
      <c r="AB10" s="7" t="n">
        <v>350</v>
      </c>
      <c r="AC10" s="7" t="n">
        <v>200</v>
      </c>
      <c r="AD10" s="7" t="n">
        <v>175</v>
      </c>
      <c r="AE10" s="7" t="n"/>
      <c r="AF10" s="7" t="n"/>
      <c r="AG10" s="7" t="n"/>
      <c r="AH10" s="7" t="n"/>
    </row>
    <row r="11">
      <c r="A11" s="7" t="inlineStr">
        <is>
          <t>Class A 6.5% 2041 Bond</t>
        </is>
      </c>
      <c r="B11" s="7" t="inlineStr">
        <is>
          <t>senior_term</t>
        </is>
      </c>
      <c r="C11" s="7" t="inlineStr">
        <is>
          <t>bond</t>
        </is>
      </c>
      <c r="D11" s="7" t="inlineStr">
        <is>
          <t>Senior Secured</t>
        </is>
      </c>
      <c r="E11" s="7" t="inlineStr">
        <is>
          <t>Class A</t>
        </is>
      </c>
      <c r="F11" s="7" t="n">
        <v>300000000</v>
      </c>
      <c r="G11" s="7" t="n">
        <v>300000000</v>
      </c>
      <c r="H11" s="7" t="inlineStr">
        <is>
          <t>GBP</t>
        </is>
      </c>
      <c r="I11" s="7" t="n">
        <v>650</v>
      </c>
      <c r="J11" s="7" t="inlineStr">
        <is>
          <t>Fixed</t>
        </is>
      </c>
      <c r="K11" s="7" t="inlineStr">
        <is>
          <t>fixed</t>
        </is>
      </c>
      <c r="L11" s="7" t="inlineStr">
        <is>
          <t>2041-03-02</t>
        </is>
      </c>
      <c r="M11" s="7" t="inlineStr">
        <is>
          <t>bullet</t>
        </is>
      </c>
      <c r="N11" s="7" t="n"/>
      <c r="O11" s="7" t="n">
        <v>10</v>
      </c>
      <c r="P11" s="7" t="n"/>
      <c r="Q11" s="7" t="inlineStr">
        <is>
          <t>active</t>
        </is>
      </c>
      <c r="R11" s="7" t="n"/>
      <c r="S11" s="7" t="inlineStr">
        <is>
          <t>opco</t>
        </is>
      </c>
      <c r="T11" s="7" t="inlineStr">
        <is>
          <t>Gatwick Funding Limited</t>
        </is>
      </c>
      <c r="U11" s="7" t="n">
        <v>100</v>
      </c>
      <c r="V11" s="7" t="n">
        <v>1</v>
      </c>
      <c r="W11" s="7" t="inlineStr">
        <is>
          <t>consolidated</t>
        </is>
      </c>
      <c r="X11" s="7" t="n"/>
      <c r="Y11" s="7" t="b">
        <v>0</v>
      </c>
      <c r="Z11" s="7" t="n">
        <v>1</v>
      </c>
      <c r="AA11" s="7" t="n">
        <v>650</v>
      </c>
      <c r="AB11" s="7" t="n">
        <v>450</v>
      </c>
      <c r="AC11" s="7" t="n">
        <v>200</v>
      </c>
      <c r="AD11" s="7" t="n">
        <v>175</v>
      </c>
      <c r="AE11" s="7" t="n"/>
      <c r="AF11" s="7" t="n"/>
      <c r="AG11" s="7" t="n"/>
      <c r="AH11" s="7" t="n"/>
    </row>
    <row r="12">
      <c r="A12" t="inlineStr">
        <is>
          <t>Class A 2.625% 2046 Bond</t>
        </is>
      </c>
      <c r="B12" t="inlineStr">
        <is>
          <t>senior_term</t>
        </is>
      </c>
      <c r="C12" t="inlineStr">
        <is>
          <t>bond</t>
        </is>
      </c>
      <c r="D12" t="inlineStr">
        <is>
          <t>Senior Secured</t>
        </is>
      </c>
      <c r="E12" t="inlineStr">
        <is>
          <t>Class A</t>
        </is>
      </c>
      <c r="F12" t="n">
        <v>180100000</v>
      </c>
      <c r="G12" t="n">
        <v>180100000</v>
      </c>
      <c r="H12" t="inlineStr">
        <is>
          <t>GBP</t>
        </is>
      </c>
      <c r="I12" t="n">
        <v>262</v>
      </c>
      <c r="J12" t="inlineStr">
        <is>
          <t>Fixed</t>
        </is>
      </c>
      <c r="K12" t="inlineStr">
        <is>
          <t>fixed</t>
        </is>
      </c>
      <c r="L12" t="inlineStr">
        <is>
          <t>2046-10-07</t>
        </is>
      </c>
      <c r="M12" t="inlineStr">
        <is>
          <t>bullet</t>
        </is>
      </c>
      <c r="O12" t="n">
        <v>10</v>
      </c>
      <c r="Q12" t="inlineStr">
        <is>
          <t>active</t>
        </is>
      </c>
      <c r="S12" t="inlineStr">
        <is>
          <t>opco</t>
        </is>
      </c>
      <c r="T12" t="inlineStr">
        <is>
          <t>Gatwick Funding Limited</t>
        </is>
      </c>
      <c r="U12" t="n">
        <v>100</v>
      </c>
      <c r="V12" t="n">
        <v>1</v>
      </c>
      <c r="W12" t="inlineStr">
        <is>
          <t>consolidated</t>
        </is>
      </c>
      <c r="Y12" t="b">
        <v>0</v>
      </c>
      <c r="Z12" t="n">
        <v>1</v>
      </c>
      <c r="AA12" t="n">
        <v>262</v>
      </c>
      <c r="AB12" t="n">
        <v>200</v>
      </c>
      <c r="AC12" t="n">
        <v>62</v>
      </c>
      <c r="AD12" t="n">
        <v>60</v>
      </c>
    </row>
    <row r="13">
      <c r="A13" t="inlineStr">
        <is>
          <t>Class A 3.25% 2048 Bond</t>
        </is>
      </c>
      <c r="B13" t="inlineStr">
        <is>
          <t>senior_term</t>
        </is>
      </c>
      <c r="C13" t="inlineStr">
        <is>
          <t>bond</t>
        </is>
      </c>
      <c r="D13" t="inlineStr">
        <is>
          <t>Senior Secured</t>
        </is>
      </c>
      <c r="E13" t="inlineStr">
        <is>
          <t>Class A</t>
        </is>
      </c>
      <c r="F13" t="n">
        <v>203300000</v>
      </c>
      <c r="G13" t="n">
        <v>203300000</v>
      </c>
      <c r="H13" t="inlineStr">
        <is>
          <t>GBP</t>
        </is>
      </c>
      <c r="I13" t="n">
        <v>325</v>
      </c>
      <c r="J13" t="inlineStr">
        <is>
          <t>Fixed</t>
        </is>
      </c>
      <c r="K13" t="inlineStr">
        <is>
          <t>fixed</t>
        </is>
      </c>
      <c r="L13" t="inlineStr">
        <is>
          <t>2048-02-26</t>
        </is>
      </c>
      <c r="M13" t="inlineStr">
        <is>
          <t>bullet</t>
        </is>
      </c>
      <c r="O13" t="n">
        <v>10</v>
      </c>
      <c r="Q13" t="inlineStr">
        <is>
          <t>active</t>
        </is>
      </c>
      <c r="S13" t="inlineStr">
        <is>
          <t>opco</t>
        </is>
      </c>
      <c r="T13" t="inlineStr">
        <is>
          <t>Gatwick Funding Limited</t>
        </is>
      </c>
      <c r="U13" t="n">
        <v>100</v>
      </c>
      <c r="V13" t="n">
        <v>1</v>
      </c>
      <c r="W13" t="inlineStr">
        <is>
          <t>consolidated</t>
        </is>
      </c>
      <c r="Y13" t="b">
        <v>0</v>
      </c>
      <c r="Z13" t="n">
        <v>1</v>
      </c>
      <c r="AA13" t="n">
        <v>325</v>
      </c>
      <c r="AB13" t="n">
        <v>250</v>
      </c>
      <c r="AC13" t="n">
        <v>75</v>
      </c>
      <c r="AD13" t="n">
        <v>75</v>
      </c>
    </row>
    <row r="14">
      <c r="A14" t="inlineStr">
        <is>
          <t>Class A 2.875% 2049 Bond</t>
        </is>
      </c>
      <c r="B14" t="inlineStr">
        <is>
          <t>senior_term</t>
        </is>
      </c>
      <c r="C14" t="inlineStr">
        <is>
          <t>bond</t>
        </is>
      </c>
      <c r="D14" t="inlineStr">
        <is>
          <t>Senior Secured</t>
        </is>
      </c>
      <c r="E14" t="inlineStr">
        <is>
          <t>Class A</t>
        </is>
      </c>
      <c r="F14" t="n">
        <v>204000000</v>
      </c>
      <c r="G14" t="n">
        <v>204000000</v>
      </c>
      <c r="H14" t="inlineStr">
        <is>
          <t>GBP</t>
        </is>
      </c>
      <c r="I14" t="n">
        <v>287</v>
      </c>
      <c r="J14" t="inlineStr">
        <is>
          <t>Fixed</t>
        </is>
      </c>
      <c r="K14" t="inlineStr">
        <is>
          <t>fixed</t>
        </is>
      </c>
      <c r="L14" t="inlineStr">
        <is>
          <t>2049-07-05</t>
        </is>
      </c>
      <c r="M14" t="inlineStr">
        <is>
          <t>bullet</t>
        </is>
      </c>
      <c r="O14" t="n">
        <v>10</v>
      </c>
      <c r="Q14" t="inlineStr">
        <is>
          <t>active</t>
        </is>
      </c>
      <c r="S14" t="inlineStr">
        <is>
          <t>opco</t>
        </is>
      </c>
      <c r="T14" t="inlineStr">
        <is>
          <t>Gatwick Funding Limited</t>
        </is>
      </c>
      <c r="U14" t="n">
        <v>100</v>
      </c>
      <c r="V14" t="n">
        <v>1</v>
      </c>
      <c r="W14" t="inlineStr">
        <is>
          <t>consolidated</t>
        </is>
      </c>
      <c r="Y14" t="b">
        <v>0</v>
      </c>
      <c r="Z14" t="n">
        <v>1</v>
      </c>
      <c r="AA14" t="n">
        <v>287</v>
      </c>
      <c r="AB14" t="n">
        <v>150</v>
      </c>
      <c r="AC14" t="n">
        <v>137</v>
      </c>
      <c r="AD14" t="n">
        <v>125</v>
      </c>
    </row>
    <row r="15">
      <c r="A15" t="inlineStr">
        <is>
          <t>GAF 6% 2030 Bond (XS3221827911)</t>
        </is>
      </c>
      <c r="B15" t="inlineStr">
        <is>
          <t>senior_term</t>
        </is>
      </c>
      <c r="C15" t="inlineStr">
        <is>
          <t>bond</t>
        </is>
      </c>
      <c r="D15" t="inlineStr">
        <is>
          <t>Senior Secured HoldCo</t>
        </is>
      </c>
      <c r="E15" t="inlineStr">
        <is>
          <t>GAF MidCo</t>
        </is>
      </c>
      <c r="F15" t="n">
        <v>475000000</v>
      </c>
      <c r="G15" t="n">
        <v>475000000</v>
      </c>
      <c r="H15" t="inlineStr">
        <is>
          <t>GBP</t>
        </is>
      </c>
      <c r="I15" t="n">
        <v>600</v>
      </c>
      <c r="K15" t="inlineStr">
        <is>
          <t>fixed</t>
        </is>
      </c>
      <c r="L15" t="inlineStr">
        <is>
          <t>2030-11-21</t>
        </is>
      </c>
      <c r="M15" t="inlineStr">
        <is>
          <t>bullet</t>
        </is>
      </c>
      <c r="O15" t="n">
        <v>0</v>
      </c>
      <c r="Q15" t="inlineStr">
        <is>
          <t>active</t>
        </is>
      </c>
      <c r="R15" t="inlineStr">
        <is>
          <t>Fitch BB/Stable, 21 Nov 2025. Structurally subordinated to GF ring-fenced group. No dedicated liquidity line; shareholders commit to 6 months debt service as cash.</t>
        </is>
      </c>
      <c r="S15" t="inlineStr">
        <is>
          <t>midco</t>
        </is>
      </c>
      <c r="T15" t="inlineStr">
        <is>
          <t>Gatwick Airport Finance plc (GAF)</t>
        </is>
      </c>
      <c r="U15" t="n">
        <v>100</v>
      </c>
      <c r="V15" t="n">
        <v>2</v>
      </c>
      <c r="W15" t="inlineStr">
        <is>
          <t>consolidated</t>
        </is>
      </c>
      <c r="Y15" t="b">
        <v>0</v>
      </c>
      <c r="Z15" t="n">
        <v>2</v>
      </c>
      <c r="AA15" t="n">
        <v>600</v>
      </c>
      <c r="AB15" t="n">
        <v>425</v>
      </c>
      <c r="AC15" t="n">
        <v>175</v>
      </c>
      <c r="AD15" t="n">
        <v>160</v>
      </c>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KPMG LLP</t>
        </is>
      </c>
      <c r="B4" s="7" t="inlineStr">
        <is>
          <t>auditor</t>
        </is>
      </c>
      <c r="C4" s="7" t="n"/>
      <c r="D4" s="7" t="n"/>
      <c r="E4" s="7" t="n"/>
      <c r="F4" s="7" t="inlineStr">
        <is>
          <t>low</t>
        </is>
      </c>
      <c r="G4" s="7" t="inlineStr">
        <is>
          <t>Statutory auditor (appointed 2023, previously PwC).</t>
        </is>
      </c>
    </row>
    <row r="5">
      <c r="A5" s="7" t="inlineStr">
        <is>
          <t>Santander UK / Banco Santander London</t>
        </is>
      </c>
      <c r="B5" s="7" t="inlineStr">
        <is>
          <t>bank</t>
        </is>
      </c>
      <c r="C5" s="7" t="inlineStr">
        <is>
          <t>A+</t>
        </is>
      </c>
      <c r="D5" s="7" t="n"/>
      <c r="E5" s="7" t="n"/>
      <c r="F5" s="7" t="inlineStr">
        <is>
          <t>low</t>
        </is>
      </c>
      <c r="G5" s="7" t="inlineStr">
        <is>
          <t>Banking counterparty.</t>
        </is>
      </c>
    </row>
    <row r="6">
      <c r="A6" s="7" t="inlineStr">
        <is>
          <t>Gatwick Funding Limited</t>
        </is>
      </c>
      <c r="B6" s="7" t="inlineStr">
        <is>
          <t>issuer</t>
        </is>
      </c>
      <c r="C6" s="7" t="inlineStr">
        <is>
          <t>A</t>
        </is>
      </c>
      <c r="D6" s="7" t="n"/>
      <c r="E6" s="7" t="n"/>
      <c r="F6" s="7" t="inlineStr">
        <is>
          <t>low</t>
        </is>
      </c>
      <c r="G6" s="7" t="inlineStr">
        <is>
          <t>Bond issuer SPV; proceeds lent to Gatwick Airport Limited or Ivy Holdco.</t>
        </is>
      </c>
    </row>
    <row r="7">
      <c r="A7" s="7" t="inlineStr">
        <is>
          <t>TUI Airways</t>
        </is>
      </c>
      <c r="B7" s="7" t="inlineStr">
        <is>
          <t>offtaker</t>
        </is>
      </c>
      <c r="C7" s="7" t="inlineStr">
        <is>
          <t>BB+</t>
        </is>
      </c>
      <c r="D7" s="7" t="n"/>
      <c r="E7" s="7" t="n"/>
      <c r="F7" s="7" t="inlineStr">
        <is>
          <t>medium</t>
        </is>
      </c>
      <c r="G7" s="7" t="inlineStr">
        <is>
          <t>Leisure carrier and package holiday operator.</t>
        </is>
      </c>
    </row>
    <row r="8">
      <c r="A8" s="7" t="inlineStr">
        <is>
          <t>EasyJet</t>
        </is>
      </c>
      <c r="B8" s="7" t="inlineStr">
        <is>
          <t>offtaker</t>
        </is>
      </c>
      <c r="C8" s="7" t="inlineStr">
        <is>
          <t>BBB</t>
        </is>
      </c>
      <c r="D8" s="7" t="n"/>
      <c r="E8" s="7" t="n"/>
      <c r="F8" s="7" t="inlineStr">
        <is>
          <t>high</t>
        </is>
      </c>
      <c r="G8" s="7" t="inlineStr">
        <is>
          <t>Largest airline customer by passenger volume. Long-standing relationship at Gatwick.</t>
        </is>
      </c>
    </row>
    <row r="9">
      <c r="A9" s="7" t="inlineStr">
        <is>
          <t>British Airways</t>
        </is>
      </c>
      <c r="B9" s="7" t="inlineStr">
        <is>
          <t>offtaker</t>
        </is>
      </c>
      <c r="C9" s="7" t="inlineStr">
        <is>
          <t>BBB</t>
        </is>
      </c>
      <c r="D9" s="7" t="n"/>
      <c r="E9" s="7" t="n"/>
      <c r="F9" s="7" t="inlineStr">
        <is>
          <t>high</t>
        </is>
      </c>
      <c r="G9" s="7" t="inlineStr">
        <is>
          <t>Major airline customer operating both short and long-haul services from Gatwick.</t>
        </is>
      </c>
    </row>
    <row r="10">
      <c r="A10" s="7" t="inlineStr">
        <is>
          <t>Wizz Air</t>
        </is>
      </c>
      <c r="B10" s="7" t="inlineStr">
        <is>
          <t>offtaker</t>
        </is>
      </c>
      <c r="C10" s="7" t="inlineStr">
        <is>
          <t>BBB-</t>
        </is>
      </c>
      <c r="D10" s="7" t="n"/>
      <c r="E10" s="7" t="n"/>
      <c r="F10" s="7" t="inlineStr">
        <is>
          <t>medium</t>
        </is>
      </c>
      <c r="G10" s="7" t="inlineStr">
        <is>
          <t>Growing short-haul customer on discretionary leisure routes.</t>
        </is>
      </c>
    </row>
    <row r="11">
      <c r="A11" t="inlineStr">
        <is>
          <t>CAA (Civil Aviation Authority)</t>
        </is>
      </c>
      <c r="B11" t="inlineStr">
        <is>
          <t>regulator</t>
        </is>
      </c>
      <c r="C11" t="inlineStr">
        <is>
          <t>AA</t>
        </is>
      </c>
      <c r="F11" t="inlineStr">
        <is>
          <t>critical</t>
        </is>
      </c>
      <c r="G11" t="inlineStr">
        <is>
          <t>Economic regulator setting aeronautical charges framework during regulatory review periods (H7, Q7).</t>
        </is>
      </c>
    </row>
    <row r="12">
      <c r="A12" t="inlineStr">
        <is>
          <t>Deutsche Trustee Company Limited</t>
        </is>
      </c>
      <c r="B12" t="inlineStr">
        <is>
          <t>security_trustee</t>
        </is>
      </c>
      <c r="C12" t="inlineStr">
        <is>
          <t>A</t>
        </is>
      </c>
      <c r="F12" t="inlineStr">
        <is>
          <t>low</t>
        </is>
      </c>
      <c r="G12" t="inlineStr">
        <is>
          <t>Borrower Security Trustee for the Class A bonds under the Common Terms Agreement.</t>
        </is>
      </c>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Ivy Holdco Limited</t>
        </is>
      </c>
      <c r="B4" s="7" t="inlineStr">
        <is>
          <t>bidco</t>
        </is>
      </c>
      <c r="C4" s="7" t="inlineStr">
        <is>
          <t>Gatwick Airport Finance plc (GAF)</t>
        </is>
      </c>
      <c r="D4" s="7" t="inlineStr">
        <is>
          <t>GB</t>
        </is>
      </c>
      <c r="E4" s="7" t="b">
        <v>1</v>
      </c>
      <c r="F4" s="7" t="b">
        <v>1</v>
      </c>
      <c r="G4" s="7" t="n">
        <v>100</v>
      </c>
      <c r="H4" s="7" t="inlineStr">
        <is>
          <t>direct</t>
        </is>
      </c>
      <c r="I4" s="7" t="inlineStr">
        <is>
          <t>full_control</t>
        </is>
      </c>
      <c r="J4" s="7" t="inlineStr">
        <is>
          <t>proportional</t>
        </is>
      </c>
      <c r="K4" s="7" t="b">
        <v>1</v>
      </c>
      <c r="L4" s="7" t="inlineStr">
        <is>
          <t>none</t>
        </is>
      </c>
    </row>
    <row r="5">
      <c r="A5" s="7" t="inlineStr">
        <is>
          <t>VINCI Airports</t>
        </is>
      </c>
      <c r="B5" s="7" t="inlineStr">
        <is>
          <t>holdco</t>
        </is>
      </c>
      <c r="C5" s="7" t="inlineStr">
        <is>
          <t>VINCI SA</t>
        </is>
      </c>
      <c r="D5" s="7" t="inlineStr">
        <is>
          <t>FR</t>
        </is>
      </c>
      <c r="E5" s="7" t="b">
        <v>0</v>
      </c>
      <c r="F5" s="7" t="b">
        <v>0</v>
      </c>
      <c r="G5" s="7" t="n"/>
      <c r="H5" s="7" t="n"/>
      <c r="I5" s="7" t="n"/>
      <c r="J5" s="7" t="n"/>
      <c r="K5" s="7" t="n"/>
      <c r="L5" s="7" t="n"/>
    </row>
    <row r="6">
      <c r="A6" s="7" t="inlineStr">
        <is>
          <t>Gatwick Funding Limited</t>
        </is>
      </c>
      <c r="B6" s="7" t="inlineStr">
        <is>
          <t>issuer</t>
        </is>
      </c>
      <c r="C6" s="7" t="inlineStr">
        <is>
          <t>Ivy Holdco Limited</t>
        </is>
      </c>
      <c r="D6" s="7" t="inlineStr">
        <is>
          <t>GB</t>
        </is>
      </c>
      <c r="E6" s="7" t="b">
        <v>0</v>
      </c>
      <c r="F6" s="7" t="b">
        <v>1</v>
      </c>
      <c r="G6" s="7" t="n">
        <v>100</v>
      </c>
      <c r="H6" s="7" t="inlineStr">
        <is>
          <t>direct</t>
        </is>
      </c>
      <c r="I6" s="7" t="inlineStr">
        <is>
          <t>full_control</t>
        </is>
      </c>
      <c r="J6" s="7" t="inlineStr">
        <is>
          <t>proportional</t>
        </is>
      </c>
      <c r="K6" s="7" t="b">
        <v>1</v>
      </c>
      <c r="L6" s="7" t="inlineStr">
        <is>
          <t>none</t>
        </is>
      </c>
    </row>
    <row r="7">
      <c r="A7" s="7" t="inlineStr">
        <is>
          <t>Gatwick Airport Finance plc (GAF)</t>
        </is>
      </c>
      <c r="B7" s="7" t="inlineStr">
        <is>
          <t>midco</t>
        </is>
      </c>
      <c r="C7" s="7" t="inlineStr">
        <is>
          <t>VINCI Airports / GIP (50.01 / 49.99)</t>
        </is>
      </c>
      <c r="D7" s="7" t="inlineStr">
        <is>
          <t>GB</t>
        </is>
      </c>
      <c r="E7" s="7" t="b">
        <v>0</v>
      </c>
      <c r="F7" s="7" t="b">
        <v>0</v>
      </c>
      <c r="G7" s="7" t="n">
        <v>100</v>
      </c>
      <c r="H7" s="7" t="inlineStr">
        <is>
          <t>direct</t>
        </is>
      </c>
      <c r="I7" s="7" t="inlineStr">
        <is>
          <t>full_control</t>
        </is>
      </c>
      <c r="J7" s="7" t="inlineStr">
        <is>
          <t>proportional</t>
        </is>
      </c>
      <c r="K7" s="7" t="b">
        <v>1</v>
      </c>
      <c r="L7" s="7" t="inlineStr">
        <is>
          <t>holdco</t>
        </is>
      </c>
    </row>
    <row r="8">
      <c r="A8" s="7" t="inlineStr">
        <is>
          <t>Gatwick Airport Limited</t>
        </is>
      </c>
      <c r="B8" s="7" t="inlineStr">
        <is>
          <t>opco</t>
        </is>
      </c>
      <c r="C8" s="7" t="inlineStr">
        <is>
          <t>Ivy Holdco Limited</t>
        </is>
      </c>
      <c r="D8" s="7" t="inlineStr">
        <is>
          <t>GB</t>
        </is>
      </c>
      <c r="E8" s="7" t="b">
        <v>1</v>
      </c>
      <c r="F8" s="7" t="b">
        <v>1</v>
      </c>
      <c r="G8" s="7" t="n">
        <v>100</v>
      </c>
      <c r="H8" s="7" t="inlineStr">
        <is>
          <t>direct</t>
        </is>
      </c>
      <c r="I8" s="7" t="inlineStr">
        <is>
          <t>full_control</t>
        </is>
      </c>
      <c r="J8" s="7" t="inlineStr">
        <is>
          <t>proportional</t>
        </is>
      </c>
      <c r="K8" s="7" t="b">
        <v>1</v>
      </c>
      <c r="L8" s="7" t="inlineStr">
        <is>
          <t>opco</t>
        </is>
      </c>
    </row>
    <row r="9">
      <c r="A9" s="7" t="inlineStr">
        <is>
          <t>Global Infrastructure Partners (Blackrock)</t>
        </is>
      </c>
      <c r="B9" s="7" t="inlineStr">
        <is>
          <t>ultimate_parent</t>
        </is>
      </c>
      <c r="C9" s="7" t="n"/>
      <c r="D9" s="7" t="inlineStr">
        <is>
          <t>US</t>
        </is>
      </c>
      <c r="E9" s="7" t="b">
        <v>0</v>
      </c>
      <c r="F9" s="7" t="b">
        <v>0</v>
      </c>
      <c r="G9" s="7" t="n"/>
      <c r="H9" s="7" t="n"/>
      <c r="I9" s="7" t="n"/>
      <c r="J9" s="7" t="n"/>
      <c r="K9" s="7" t="n"/>
      <c r="L9" s="7" t="n"/>
    </row>
    <row r="10">
      <c r="A10" t="inlineStr">
        <is>
          <t>VINCI SA</t>
        </is>
      </c>
      <c r="B10" t="inlineStr">
        <is>
          <t>ultimate_parent</t>
        </is>
      </c>
      <c r="D10" t="inlineStr">
        <is>
          <t>FR</t>
        </is>
      </c>
      <c r="E10" t="b">
        <v>0</v>
      </c>
      <c r="F10" t="b">
        <v>0</v>
      </c>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Senior ICR</t>
        </is>
      </c>
      <c r="B4" s="7" t="inlineStr">
        <is>
          <t>seniorIcr</t>
        </is>
      </c>
      <c r="C4" s="7" t="inlineStr">
        <is>
          <t>cash_flow_cover</t>
        </is>
      </c>
      <c r="D4" s="7" t="inlineStr">
        <is>
          <t>hard_covenant</t>
        </is>
      </c>
      <c r="E4" s="7" t="inlineStr">
        <is>
          <t>min</t>
        </is>
      </c>
      <c r="F4" s="7" t="inlineStr">
        <is>
          <t>semi_annual</t>
        </is>
      </c>
      <c r="G4" s="7" t="inlineStr">
        <is>
          <t>Senior</t>
        </is>
      </c>
      <c r="H4" s="7" t="n">
        <v>1.5</v>
      </c>
      <c r="I4" s="7" t="n"/>
      <c r="J4" s="7" t="n">
        <v>1.1</v>
      </c>
      <c r="K4" s="7" t="b">
        <v>0</v>
      </c>
      <c r="L4" s="7" t="n"/>
    </row>
    <row r="5">
      <c r="A5" s="7" t="inlineStr">
        <is>
          <t>Senior RAR</t>
        </is>
      </c>
      <c r="B5" s="7" t="inlineStr">
        <is>
          <t>seniorRar</t>
        </is>
      </c>
      <c r="C5" s="7" t="inlineStr">
        <is>
          <t>collateral_value</t>
        </is>
      </c>
      <c r="D5" s="7" t="inlineStr">
        <is>
          <t>hard_covenant</t>
        </is>
      </c>
      <c r="E5" s="7" t="inlineStr">
        <is>
          <t>max</t>
        </is>
      </c>
      <c r="F5" s="7" t="inlineStr">
        <is>
          <t>semi_annual</t>
        </is>
      </c>
      <c r="G5" s="7" t="inlineStr">
        <is>
          <t>Senior</t>
        </is>
      </c>
      <c r="H5" s="7" t="n">
        <v>0.7</v>
      </c>
      <c r="I5" s="7" t="n"/>
      <c r="J5" s="7" t="n">
        <v>0.85</v>
      </c>
      <c r="K5" s="7" t="b">
        <v>0</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Passengers (millions)</t>
        </is>
      </c>
      <c r="C4" s="7" t="inlineStr">
        <is>
          <t>management_case</t>
        </is>
      </c>
      <c r="D4" s="7" t="n"/>
      <c r="E4" s="7" t="n"/>
      <c r="F4" s="7" t="inlineStr">
        <is>
          <t>FY2025</t>
        </is>
      </c>
      <c r="G4" s="7" t="n">
        <v>44</v>
      </c>
    </row>
    <row r="5">
      <c r="A5" s="7" t="inlineStr">
        <is>
          <t>sector_kpi_1</t>
        </is>
      </c>
      <c r="B5" s="7" t="inlineStr">
        <is>
          <t>Passengers (millions)</t>
        </is>
      </c>
      <c r="C5" s="7" t="inlineStr">
        <is>
          <t>management_case</t>
        </is>
      </c>
      <c r="D5" s="7" t="n"/>
      <c r="E5" s="7" t="n"/>
      <c r="F5" s="7" t="inlineStr">
        <is>
          <t>FY2026</t>
        </is>
      </c>
      <c r="G5" s="7" t="n">
        <v>46</v>
      </c>
    </row>
    <row r="6">
      <c r="A6" s="7" t="inlineStr">
        <is>
          <t>sector_kpi_1</t>
        </is>
      </c>
      <c r="B6" s="7" t="inlineStr">
        <is>
          <t>Passengers (millions)</t>
        </is>
      </c>
      <c r="C6" s="7" t="inlineStr">
        <is>
          <t>management_case</t>
        </is>
      </c>
      <c r="D6" s="7" t="n"/>
      <c r="E6" s="7" t="n"/>
      <c r="F6" s="7" t="inlineStr">
        <is>
          <t>FY2027</t>
        </is>
      </c>
      <c r="G6" s="7" t="n">
        <v>48</v>
      </c>
    </row>
    <row r="7">
      <c r="A7" s="7" t="inlineStr">
        <is>
          <t>sector_kpi_1</t>
        </is>
      </c>
      <c r="B7" s="7" t="inlineStr">
        <is>
          <t>Passengers (millions)</t>
        </is>
      </c>
      <c r="C7" s="7" t="inlineStr">
        <is>
          <t>management_case</t>
        </is>
      </c>
      <c r="D7" s="7" t="n"/>
      <c r="E7" s="7" t="n"/>
      <c r="F7" s="7" t="inlineStr">
        <is>
          <t>FY2028</t>
        </is>
      </c>
      <c r="G7" s="7" t="n">
        <v>49</v>
      </c>
    </row>
    <row r="8">
      <c r="A8" s="7" t="inlineStr">
        <is>
          <t>sector_kpi_1</t>
        </is>
      </c>
      <c r="B8" s="7" t="inlineStr">
        <is>
          <t>Passengers (millions)</t>
        </is>
      </c>
      <c r="C8" s="7" t="inlineStr">
        <is>
          <t>management_case</t>
        </is>
      </c>
      <c r="D8" s="7" t="n"/>
      <c r="E8" s="7" t="n"/>
      <c r="F8" s="7" t="inlineStr">
        <is>
          <t>FY2029</t>
        </is>
      </c>
      <c r="G8" s="7" t="n">
        <v>49.5</v>
      </c>
    </row>
    <row r="9">
      <c r="A9" s="7" t="inlineStr">
        <is>
          <t>sector_kpi_1</t>
        </is>
      </c>
      <c r="B9" s="7" t="inlineStr">
        <is>
          <t>Passengers (millions)</t>
        </is>
      </c>
      <c r="C9" s="7" t="inlineStr">
        <is>
          <t>management_case</t>
        </is>
      </c>
      <c r="D9" s="7" t="n"/>
      <c r="E9" s="7" t="n"/>
      <c r="F9" s="7" t="inlineStr">
        <is>
          <t>FY2030</t>
        </is>
      </c>
      <c r="G9" s="7" t="n">
        <v>50</v>
      </c>
    </row>
    <row r="10">
      <c r="A10" s="7" t="inlineStr">
        <is>
          <t>sector_kpi_1</t>
        </is>
      </c>
      <c r="B10" s="7" t="inlineStr">
        <is>
          <t>Passengers (millions)</t>
        </is>
      </c>
      <c r="C10" s="7" t="inlineStr">
        <is>
          <t>management_case</t>
        </is>
      </c>
      <c r="D10" s="7" t="n"/>
      <c r="E10" s="7" t="n"/>
      <c r="F10" s="7" t="inlineStr">
        <is>
          <t>FY2031</t>
        </is>
      </c>
      <c r="G10" s="7" t="n">
        <v>50</v>
      </c>
    </row>
    <row r="11">
      <c r="A11" s="7" t="inlineStr">
        <is>
          <t>sector_kpi_1</t>
        </is>
      </c>
      <c r="B11" s="7" t="inlineStr">
        <is>
          <t>Passengers (millions)</t>
        </is>
      </c>
      <c r="C11" s="7" t="inlineStr">
        <is>
          <t>management_case</t>
        </is>
      </c>
      <c r="D11" s="7" t="n"/>
      <c r="E11" s="7" t="n"/>
      <c r="F11" s="7" t="inlineStr">
        <is>
          <t>FY2032</t>
        </is>
      </c>
      <c r="G11" s="7" t="n">
        <v>50</v>
      </c>
    </row>
    <row r="12">
      <c r="A12" s="7" t="inlineStr">
        <is>
          <t>sector_kpi_1</t>
        </is>
      </c>
      <c r="B12" s="7" t="inlineStr">
        <is>
          <t>Passengers (millions)</t>
        </is>
      </c>
      <c r="C12" s="7" t="inlineStr">
        <is>
          <t>management_case</t>
        </is>
      </c>
      <c r="D12" s="7" t="n"/>
      <c r="E12" s="7" t="n"/>
      <c r="F12" s="7" t="inlineStr">
        <is>
          <t>FY2033</t>
        </is>
      </c>
      <c r="G12" s="7" t="n">
        <v>50</v>
      </c>
    </row>
    <row r="13">
      <c r="A13" s="7" t="inlineStr">
        <is>
          <t>sector_kpi_1</t>
        </is>
      </c>
      <c r="B13" s="7" t="inlineStr">
        <is>
          <t>Passengers (millions)</t>
        </is>
      </c>
      <c r="C13" s="7" t="inlineStr">
        <is>
          <t>combined_downside</t>
        </is>
      </c>
      <c r="D13" s="7" t="n"/>
      <c r="E13" s="7" t="n"/>
      <c r="F13" s="7" t="inlineStr">
        <is>
          <t>FY2025</t>
        </is>
      </c>
      <c r="G13" s="7" t="n">
        <v>35</v>
      </c>
    </row>
    <row r="14">
      <c r="A14" s="7" t="inlineStr">
        <is>
          <t>sector_kpi_1</t>
        </is>
      </c>
      <c r="B14" s="7" t="inlineStr">
        <is>
          <t>Passengers (millions)</t>
        </is>
      </c>
      <c r="C14" s="7" t="inlineStr">
        <is>
          <t>combined_downside</t>
        </is>
      </c>
      <c r="D14" s="7" t="n"/>
      <c r="E14" s="7" t="n"/>
      <c r="F14" s="7" t="inlineStr">
        <is>
          <t>FY2026</t>
        </is>
      </c>
      <c r="G14" s="7" t="n">
        <v>36</v>
      </c>
    </row>
    <row r="15">
      <c r="A15" s="7" t="inlineStr">
        <is>
          <t>sector_kpi_1</t>
        </is>
      </c>
      <c r="B15" s="7" t="inlineStr">
        <is>
          <t>Passengers (millions)</t>
        </is>
      </c>
      <c r="C15" s="7" t="inlineStr">
        <is>
          <t>combined_downside</t>
        </is>
      </c>
      <c r="D15" s="7" t="n"/>
      <c r="E15" s="7" t="n"/>
      <c r="F15" s="7" t="inlineStr">
        <is>
          <t>FY2027</t>
        </is>
      </c>
      <c r="G15" s="7" t="n">
        <v>38</v>
      </c>
    </row>
    <row r="16">
      <c r="A16" s="7" t="inlineStr">
        <is>
          <t>sector_kpi_1</t>
        </is>
      </c>
      <c r="B16" s="7" t="inlineStr">
        <is>
          <t>Passengers (millions)</t>
        </is>
      </c>
      <c r="C16" s="7" t="inlineStr">
        <is>
          <t>combined_downside</t>
        </is>
      </c>
      <c r="D16" s="7" t="n"/>
      <c r="E16" s="7" t="n"/>
      <c r="F16" s="7" t="inlineStr">
        <is>
          <t>FY2028</t>
        </is>
      </c>
      <c r="G16" s="7" t="n">
        <v>40</v>
      </c>
    </row>
    <row r="17">
      <c r="A17" s="7" t="inlineStr">
        <is>
          <t>sector_kpi_1</t>
        </is>
      </c>
      <c r="B17" s="7" t="inlineStr">
        <is>
          <t>Passengers (millions)</t>
        </is>
      </c>
      <c r="C17" s="7" t="inlineStr">
        <is>
          <t>combined_downside</t>
        </is>
      </c>
      <c r="D17" s="7" t="n"/>
      <c r="E17" s="7" t="n"/>
      <c r="F17" s="7" t="inlineStr">
        <is>
          <t>FY2029</t>
        </is>
      </c>
      <c r="G17" s="7" t="n">
        <v>42</v>
      </c>
    </row>
    <row r="18">
      <c r="A18" s="7" t="inlineStr">
        <is>
          <t>sector_kpi_1</t>
        </is>
      </c>
      <c r="B18" s="7" t="inlineStr">
        <is>
          <t>Passengers (millions)</t>
        </is>
      </c>
      <c r="C18" s="7" t="inlineStr">
        <is>
          <t>combined_downside</t>
        </is>
      </c>
      <c r="D18" s="7" t="n"/>
      <c r="E18" s="7" t="n"/>
      <c r="F18" s="7" t="inlineStr">
        <is>
          <t>FY2030</t>
        </is>
      </c>
      <c r="G18" s="7" t="n">
        <v>43</v>
      </c>
    </row>
    <row r="19">
      <c r="A19" s="7" t="inlineStr">
        <is>
          <t>sector_kpi_1</t>
        </is>
      </c>
      <c r="B19" s="7" t="inlineStr">
        <is>
          <t>Passengers (millions)</t>
        </is>
      </c>
      <c r="C19" s="7" t="inlineStr">
        <is>
          <t>combined_downside</t>
        </is>
      </c>
      <c r="D19" s="7" t="n"/>
      <c r="E19" s="7" t="n"/>
      <c r="F19" s="7" t="inlineStr">
        <is>
          <t>FY2031</t>
        </is>
      </c>
      <c r="G19" s="7" t="n">
        <v>44</v>
      </c>
    </row>
    <row r="20">
      <c r="A20" s="7" t="inlineStr">
        <is>
          <t>sector_kpi_1</t>
        </is>
      </c>
      <c r="B20" s="7" t="inlineStr">
        <is>
          <t>Passengers (millions)</t>
        </is>
      </c>
      <c r="C20" s="7" t="inlineStr">
        <is>
          <t>combined_downside</t>
        </is>
      </c>
      <c r="D20" s="7" t="n"/>
      <c r="E20" s="7" t="n"/>
      <c r="F20" s="7" t="inlineStr">
        <is>
          <t>FY2032</t>
        </is>
      </c>
      <c r="G20" s="7" t="n">
        <v>45</v>
      </c>
    </row>
    <row r="21">
      <c r="A21" s="7" t="inlineStr">
        <is>
          <t>sector_kpi_1</t>
        </is>
      </c>
      <c r="B21" s="7" t="inlineStr">
        <is>
          <t>Passengers (millions)</t>
        </is>
      </c>
      <c r="C21" s="7" t="inlineStr">
        <is>
          <t>combined_downside</t>
        </is>
      </c>
      <c r="D21" s="7" t="n"/>
      <c r="E21" s="7" t="n"/>
      <c r="F21" s="7" t="inlineStr">
        <is>
          <t>FY2033</t>
        </is>
      </c>
      <c r="G21" s="7" t="n">
        <v>45</v>
      </c>
    </row>
    <row r="22">
      <c r="A22" s="7" t="inlineStr">
        <is>
          <t>sector_kpi_1</t>
        </is>
      </c>
      <c r="B22" s="7" t="inlineStr">
        <is>
          <t>Passengers (millions)</t>
        </is>
      </c>
      <c r="C22" s="7" t="inlineStr">
        <is>
          <t>single_variant_stress</t>
        </is>
      </c>
      <c r="D22" s="7" t="inlineStr">
        <is>
          <t>Pandemic passenger shock</t>
        </is>
      </c>
      <c r="E22" s="7" t="n"/>
      <c r="F22" s="7" t="inlineStr">
        <is>
          <t>FY2025</t>
        </is>
      </c>
      <c r="G22" s="7" t="n">
        <v>15</v>
      </c>
    </row>
    <row r="23">
      <c r="A23" s="7" t="inlineStr">
        <is>
          <t>sector_kpi_1</t>
        </is>
      </c>
      <c r="B23" s="7" t="inlineStr">
        <is>
          <t>Passengers (millions)</t>
        </is>
      </c>
      <c r="C23" s="7" t="inlineStr">
        <is>
          <t>single_variant_stress</t>
        </is>
      </c>
      <c r="D23" s="7" t="inlineStr">
        <is>
          <t>Pandemic passenger shock</t>
        </is>
      </c>
      <c r="E23" s="7" t="n"/>
      <c r="F23" s="7" t="inlineStr">
        <is>
          <t>FY2026</t>
        </is>
      </c>
      <c r="G23" s="7" t="n">
        <v>30</v>
      </c>
    </row>
    <row r="24">
      <c r="A24" s="7" t="inlineStr">
        <is>
          <t>sector_kpi_1</t>
        </is>
      </c>
      <c r="B24" s="7" t="inlineStr">
        <is>
          <t>Passengers (millions)</t>
        </is>
      </c>
      <c r="C24" s="7" t="inlineStr">
        <is>
          <t>single_variant_stress</t>
        </is>
      </c>
      <c r="D24" s="7" t="inlineStr">
        <is>
          <t>Pandemic passenger shock</t>
        </is>
      </c>
      <c r="E24" s="7" t="n"/>
      <c r="F24" s="7" t="inlineStr">
        <is>
          <t>FY2027</t>
        </is>
      </c>
      <c r="G24" s="7" t="n">
        <v>40</v>
      </c>
    </row>
    <row r="25">
      <c r="A25" s="7" t="inlineStr">
        <is>
          <t>sector_kpi_1</t>
        </is>
      </c>
      <c r="B25" s="7" t="inlineStr">
        <is>
          <t>Passengers (millions)</t>
        </is>
      </c>
      <c r="C25" s="7" t="inlineStr">
        <is>
          <t>single_variant_stress</t>
        </is>
      </c>
      <c r="D25" s="7" t="inlineStr">
        <is>
          <t>Pandemic passenger shock</t>
        </is>
      </c>
      <c r="E25" s="7" t="n"/>
      <c r="F25" s="7" t="inlineStr">
        <is>
          <t>FY2028</t>
        </is>
      </c>
      <c r="G25" s="7" t="n">
        <v>45</v>
      </c>
    </row>
    <row r="26">
      <c r="A26" s="7" t="inlineStr">
        <is>
          <t>sector_kpi_1</t>
        </is>
      </c>
      <c r="B26" s="7" t="inlineStr">
        <is>
          <t>Passengers (millions)</t>
        </is>
      </c>
      <c r="C26" s="7" t="inlineStr">
        <is>
          <t>single_variant_stress</t>
        </is>
      </c>
      <c r="D26" s="7" t="inlineStr">
        <is>
          <t>Pandemic passenger shock</t>
        </is>
      </c>
      <c r="E26" s="7" t="n"/>
      <c r="F26" s="7" t="inlineStr">
        <is>
          <t>FY2029</t>
        </is>
      </c>
      <c r="G26" s="7" t="n">
        <v>48</v>
      </c>
    </row>
    <row r="27">
      <c r="A27" s="7" t="inlineStr">
        <is>
          <t>sector_kpi_1</t>
        </is>
      </c>
      <c r="B27" s="7" t="inlineStr">
        <is>
          <t>Passengers (millions)</t>
        </is>
      </c>
      <c r="C27" s="7" t="inlineStr">
        <is>
          <t>single_variant_stress</t>
        </is>
      </c>
      <c r="D27" s="7" t="inlineStr">
        <is>
          <t>Pandemic passenger shock</t>
        </is>
      </c>
      <c r="E27" s="7" t="n"/>
      <c r="F27" s="7" t="inlineStr">
        <is>
          <t>FY2030</t>
        </is>
      </c>
      <c r="G27" s="7" t="n">
        <v>50</v>
      </c>
    </row>
    <row r="28">
      <c r="A28" s="7" t="inlineStr">
        <is>
          <t>sector_kpi_1</t>
        </is>
      </c>
      <c r="B28" s="7" t="inlineStr">
        <is>
          <t>Passengers (millions)</t>
        </is>
      </c>
      <c r="C28" s="7" t="inlineStr">
        <is>
          <t>single_variant_stress</t>
        </is>
      </c>
      <c r="D28" s="7" t="inlineStr">
        <is>
          <t>Pandemic passenger shock</t>
        </is>
      </c>
      <c r="E28" s="7" t="n"/>
      <c r="F28" s="7" t="inlineStr">
        <is>
          <t>FY2031</t>
        </is>
      </c>
      <c r="G28" s="7" t="n">
        <v>50</v>
      </c>
    </row>
    <row r="29">
      <c r="A29" s="7" t="inlineStr">
        <is>
          <t>sector_kpi_1</t>
        </is>
      </c>
      <c r="B29" s="7" t="inlineStr">
        <is>
          <t>Passengers (millions)</t>
        </is>
      </c>
      <c r="C29" s="7" t="inlineStr">
        <is>
          <t>single_variant_stress</t>
        </is>
      </c>
      <c r="D29" s="7" t="inlineStr">
        <is>
          <t>Pandemic passenger shock</t>
        </is>
      </c>
      <c r="E29" s="7" t="n"/>
      <c r="F29" s="7" t="inlineStr">
        <is>
          <t>FY2032</t>
        </is>
      </c>
      <c r="G29" s="7" t="n">
        <v>50</v>
      </c>
    </row>
    <row r="30">
      <c r="A30" s="7" t="inlineStr">
        <is>
          <t>sector_kpi_1</t>
        </is>
      </c>
      <c r="B30" s="7" t="inlineStr">
        <is>
          <t>Passengers (millions)</t>
        </is>
      </c>
      <c r="C30" s="7" t="inlineStr">
        <is>
          <t>single_variant_stress</t>
        </is>
      </c>
      <c r="D30" s="7" t="inlineStr">
        <is>
          <t>Pandemic passenger shock</t>
        </is>
      </c>
      <c r="E30" s="7" t="n"/>
      <c r="F30" s="7" t="inlineStr">
        <is>
          <t>FY2033</t>
        </is>
      </c>
      <c r="G30" s="7" t="n">
        <v>50</v>
      </c>
    </row>
    <row r="31">
      <c r="A31" s="7" t="inlineStr">
        <is>
          <t>sector_kpi_2</t>
        </is>
      </c>
      <c r="B31" s="7" t="inlineStr">
        <is>
          <t>Net Retail per PAX</t>
        </is>
      </c>
      <c r="C31" s="7" t="inlineStr">
        <is>
          <t>management_case</t>
        </is>
      </c>
      <c r="D31" s="7" t="n"/>
      <c r="E31" s="7" t="n"/>
      <c r="F31" s="7" t="inlineStr">
        <is>
          <t>FY2025</t>
        </is>
      </c>
      <c r="G31" s="7" t="n">
        <v>5.5</v>
      </c>
    </row>
    <row r="32">
      <c r="A32" s="7" t="inlineStr">
        <is>
          <t>sector_kpi_2</t>
        </is>
      </c>
      <c r="B32" s="7" t="inlineStr">
        <is>
          <t>Net Retail per PAX</t>
        </is>
      </c>
      <c r="C32" s="7" t="inlineStr">
        <is>
          <t>management_case</t>
        </is>
      </c>
      <c r="D32" s="7" t="n"/>
      <c r="E32" s="7" t="n"/>
      <c r="F32" s="7" t="inlineStr">
        <is>
          <t>FY2026</t>
        </is>
      </c>
      <c r="G32" s="7" t="n">
        <v>5.7</v>
      </c>
    </row>
    <row r="33">
      <c r="A33" s="7" t="inlineStr">
        <is>
          <t>sector_kpi_2</t>
        </is>
      </c>
      <c r="B33" s="7" t="inlineStr">
        <is>
          <t>Net Retail per PAX</t>
        </is>
      </c>
      <c r="C33" s="7" t="inlineStr">
        <is>
          <t>management_case</t>
        </is>
      </c>
      <c r="D33" s="7" t="n"/>
      <c r="E33" s="7" t="n"/>
      <c r="F33" s="7" t="inlineStr">
        <is>
          <t>FY2027</t>
        </is>
      </c>
      <c r="G33" s="7" t="n">
        <v>5.9</v>
      </c>
    </row>
    <row r="34">
      <c r="A34" s="7" t="inlineStr">
        <is>
          <t>sector_kpi_2</t>
        </is>
      </c>
      <c r="B34" s="7" t="inlineStr">
        <is>
          <t>Net Retail per PAX</t>
        </is>
      </c>
      <c r="C34" s="7" t="inlineStr">
        <is>
          <t>management_case</t>
        </is>
      </c>
      <c r="D34" s="7" t="n"/>
      <c r="E34" s="7" t="n"/>
      <c r="F34" s="7" t="inlineStr">
        <is>
          <t>FY2028</t>
        </is>
      </c>
      <c r="G34" s="7" t="n">
        <v>6.1</v>
      </c>
    </row>
    <row r="35">
      <c r="A35" s="7" t="inlineStr">
        <is>
          <t>sector_kpi_2</t>
        </is>
      </c>
      <c r="B35" s="7" t="inlineStr">
        <is>
          <t>Net Retail per PAX</t>
        </is>
      </c>
      <c r="C35" s="7" t="inlineStr">
        <is>
          <t>management_case</t>
        </is>
      </c>
      <c r="D35" s="7" t="n"/>
      <c r="E35" s="7" t="n"/>
      <c r="F35" s="7" t="inlineStr">
        <is>
          <t>FY2029</t>
        </is>
      </c>
      <c r="G35" s="7" t="n">
        <v>6.3</v>
      </c>
    </row>
    <row r="36">
      <c r="A36" s="7" t="inlineStr">
        <is>
          <t>sector_kpi_2</t>
        </is>
      </c>
      <c r="B36" s="7" t="inlineStr">
        <is>
          <t>Net Retail per PAX</t>
        </is>
      </c>
      <c r="C36" s="7" t="inlineStr">
        <is>
          <t>management_case</t>
        </is>
      </c>
      <c r="D36" s="7" t="n"/>
      <c r="E36" s="7" t="n"/>
      <c r="F36" s="7" t="inlineStr">
        <is>
          <t>FY2030</t>
        </is>
      </c>
      <c r="G36" s="7" t="n">
        <v>6.4</v>
      </c>
    </row>
    <row r="37">
      <c r="A37" s="7" t="inlineStr">
        <is>
          <t>sector_kpi_2</t>
        </is>
      </c>
      <c r="B37" s="7" t="inlineStr">
        <is>
          <t>Net Retail per PAX</t>
        </is>
      </c>
      <c r="C37" s="7" t="inlineStr">
        <is>
          <t>management_case</t>
        </is>
      </c>
      <c r="D37" s="7" t="n"/>
      <c r="E37" s="7" t="n"/>
      <c r="F37" s="7" t="inlineStr">
        <is>
          <t>FY2031</t>
        </is>
      </c>
      <c r="G37" s="7" t="n">
        <v>6.5</v>
      </c>
    </row>
    <row r="38">
      <c r="A38" s="7" t="inlineStr">
        <is>
          <t>sector_kpi_2</t>
        </is>
      </c>
      <c r="B38" s="7" t="inlineStr">
        <is>
          <t>Net Retail per PAX</t>
        </is>
      </c>
      <c r="C38" s="7" t="inlineStr">
        <is>
          <t>management_case</t>
        </is>
      </c>
      <c r="D38" s="7" t="n"/>
      <c r="E38" s="7" t="n"/>
      <c r="F38" s="7" t="inlineStr">
        <is>
          <t>FY2032</t>
        </is>
      </c>
      <c r="G38" s="7" t="n">
        <v>6.6</v>
      </c>
    </row>
    <row r="39">
      <c r="A39" s="7" t="inlineStr">
        <is>
          <t>sector_kpi_2</t>
        </is>
      </c>
      <c r="B39" s="7" t="inlineStr">
        <is>
          <t>Net Retail per PAX</t>
        </is>
      </c>
      <c r="C39" s="7" t="inlineStr">
        <is>
          <t>management_case</t>
        </is>
      </c>
      <c r="D39" s="7" t="n"/>
      <c r="E39" s="7" t="n"/>
      <c r="F39" s="7" t="inlineStr">
        <is>
          <t>FY2033</t>
        </is>
      </c>
      <c r="G39" s="7" t="n">
        <v>6.7</v>
      </c>
    </row>
    <row r="40">
      <c r="A40" s="7" t="inlineStr">
        <is>
          <t>sector_kpi_2</t>
        </is>
      </c>
      <c r="B40" s="7" t="inlineStr">
        <is>
          <t>Net Retail per PAX</t>
        </is>
      </c>
      <c r="C40" s="7" t="inlineStr">
        <is>
          <t>combined_downside</t>
        </is>
      </c>
      <c r="D40" s="7" t="n"/>
      <c r="E40" s="7" t="n"/>
      <c r="F40" s="7" t="inlineStr">
        <is>
          <t>FY2025</t>
        </is>
      </c>
      <c r="G40" s="7" t="n">
        <v>4.8</v>
      </c>
    </row>
    <row r="41">
      <c r="A41" s="7" t="inlineStr">
        <is>
          <t>sector_kpi_2</t>
        </is>
      </c>
      <c r="B41" s="7" t="inlineStr">
        <is>
          <t>Net Retail per PAX</t>
        </is>
      </c>
      <c r="C41" s="7" t="inlineStr">
        <is>
          <t>combined_downside</t>
        </is>
      </c>
      <c r="D41" s="7" t="n"/>
      <c r="E41" s="7" t="n"/>
      <c r="F41" s="7" t="inlineStr">
        <is>
          <t>FY2026</t>
        </is>
      </c>
      <c r="G41" s="7" t="n">
        <v>5</v>
      </c>
    </row>
    <row r="42">
      <c r="A42" s="7" t="inlineStr">
        <is>
          <t>sector_kpi_2</t>
        </is>
      </c>
      <c r="B42" s="7" t="inlineStr">
        <is>
          <t>Net Retail per PAX</t>
        </is>
      </c>
      <c r="C42" s="7" t="inlineStr">
        <is>
          <t>combined_downside</t>
        </is>
      </c>
      <c r="D42" s="7" t="n"/>
      <c r="E42" s="7" t="n"/>
      <c r="F42" s="7" t="inlineStr">
        <is>
          <t>FY2027</t>
        </is>
      </c>
      <c r="G42" s="7" t="n">
        <v>5.1</v>
      </c>
    </row>
    <row r="43">
      <c r="A43" s="7" t="inlineStr">
        <is>
          <t>sector_kpi_2</t>
        </is>
      </c>
      <c r="B43" s="7" t="inlineStr">
        <is>
          <t>Net Retail per PAX</t>
        </is>
      </c>
      <c r="C43" s="7" t="inlineStr">
        <is>
          <t>combined_downside</t>
        </is>
      </c>
      <c r="D43" s="7" t="n"/>
      <c r="E43" s="7" t="n"/>
      <c r="F43" s="7" t="inlineStr">
        <is>
          <t>FY2028</t>
        </is>
      </c>
      <c r="G43" s="7" t="n">
        <v>5.2</v>
      </c>
    </row>
    <row r="44">
      <c r="A44" s="7" t="inlineStr">
        <is>
          <t>sector_kpi_2</t>
        </is>
      </c>
      <c r="B44" s="7" t="inlineStr">
        <is>
          <t>Net Retail per PAX</t>
        </is>
      </c>
      <c r="C44" s="7" t="inlineStr">
        <is>
          <t>combined_downside</t>
        </is>
      </c>
      <c r="D44" s="7" t="n"/>
      <c r="E44" s="7" t="n"/>
      <c r="F44" s="7" t="inlineStr">
        <is>
          <t>FY2029</t>
        </is>
      </c>
      <c r="G44" s="7" t="n">
        <v>5.3</v>
      </c>
    </row>
    <row r="45">
      <c r="A45" s="7" t="inlineStr">
        <is>
          <t>sector_kpi_2</t>
        </is>
      </c>
      <c r="B45" s="7" t="inlineStr">
        <is>
          <t>Net Retail per PAX</t>
        </is>
      </c>
      <c r="C45" s="7" t="inlineStr">
        <is>
          <t>combined_downside</t>
        </is>
      </c>
      <c r="D45" s="7" t="n"/>
      <c r="E45" s="7" t="n"/>
      <c r="F45" s="7" t="inlineStr">
        <is>
          <t>FY2030</t>
        </is>
      </c>
      <c r="G45" s="7" t="n">
        <v>5.3</v>
      </c>
    </row>
    <row r="46">
      <c r="A46" s="7" t="inlineStr">
        <is>
          <t>sector_kpi_2</t>
        </is>
      </c>
      <c r="B46" s="7" t="inlineStr">
        <is>
          <t>Net Retail per PAX</t>
        </is>
      </c>
      <c r="C46" s="7" t="inlineStr">
        <is>
          <t>combined_downside</t>
        </is>
      </c>
      <c r="D46" s="7" t="n"/>
      <c r="E46" s="7" t="n"/>
      <c r="F46" s="7" t="inlineStr">
        <is>
          <t>FY2031</t>
        </is>
      </c>
      <c r="G46" s="7" t="n">
        <v>5.4</v>
      </c>
    </row>
    <row r="47">
      <c r="A47" s="7" t="inlineStr">
        <is>
          <t>sector_kpi_2</t>
        </is>
      </c>
      <c r="B47" s="7" t="inlineStr">
        <is>
          <t>Net Retail per PAX</t>
        </is>
      </c>
      <c r="C47" s="7" t="inlineStr">
        <is>
          <t>combined_downside</t>
        </is>
      </c>
      <c r="D47" s="7" t="n"/>
      <c r="E47" s="7" t="n"/>
      <c r="F47" s="7" t="inlineStr">
        <is>
          <t>FY2032</t>
        </is>
      </c>
      <c r="G47" s="7" t="n">
        <v>5.4</v>
      </c>
    </row>
    <row r="48">
      <c r="A48" s="7" t="inlineStr">
        <is>
          <t>sector_kpi_2</t>
        </is>
      </c>
      <c r="B48" s="7" t="inlineStr">
        <is>
          <t>Net Retail per PAX</t>
        </is>
      </c>
      <c r="C48" s="7" t="inlineStr">
        <is>
          <t>combined_downside</t>
        </is>
      </c>
      <c r="D48" s="7" t="n"/>
      <c r="E48" s="7" t="n"/>
      <c r="F48" s="7" t="inlineStr">
        <is>
          <t>FY2033</t>
        </is>
      </c>
      <c r="G48" s="7" t="n">
        <v>5.5</v>
      </c>
    </row>
    <row r="49">
      <c r="A49" s="7" t="inlineStr">
        <is>
          <t>sector_kpi_3</t>
        </is>
      </c>
      <c r="B49" s="7" t="inlineStr">
        <is>
          <t>EBITDA Margin %</t>
        </is>
      </c>
      <c r="C49" s="7" t="inlineStr">
        <is>
          <t>management_case</t>
        </is>
      </c>
      <c r="D49" s="7" t="n"/>
      <c r="E49" s="7" t="n"/>
      <c r="F49" s="7" t="inlineStr">
        <is>
          <t>FY2025</t>
        </is>
      </c>
      <c r="G49" s="7" t="n">
        <v>52</v>
      </c>
    </row>
    <row r="50">
      <c r="A50" s="7" t="inlineStr">
        <is>
          <t>sector_kpi_3</t>
        </is>
      </c>
      <c r="B50" s="7" t="inlineStr">
        <is>
          <t>EBITDA Margin %</t>
        </is>
      </c>
      <c r="C50" s="7" t="inlineStr">
        <is>
          <t>management_case</t>
        </is>
      </c>
      <c r="D50" s="7" t="n"/>
      <c r="E50" s="7" t="n"/>
      <c r="F50" s="7" t="inlineStr">
        <is>
          <t>FY2026</t>
        </is>
      </c>
      <c r="G50" s="7" t="n">
        <v>53</v>
      </c>
    </row>
    <row r="51">
      <c r="A51" s="7" t="inlineStr">
        <is>
          <t>sector_kpi_3</t>
        </is>
      </c>
      <c r="B51" s="7" t="inlineStr">
        <is>
          <t>EBITDA Margin %</t>
        </is>
      </c>
      <c r="C51" s="7" t="inlineStr">
        <is>
          <t>management_case</t>
        </is>
      </c>
      <c r="D51" s="7" t="n"/>
      <c r="E51" s="7" t="n"/>
      <c r="F51" s="7" t="inlineStr">
        <is>
          <t>FY2027</t>
        </is>
      </c>
      <c r="G51" s="7" t="n">
        <v>54</v>
      </c>
    </row>
    <row r="52">
      <c r="A52" s="7" t="inlineStr">
        <is>
          <t>sector_kpi_3</t>
        </is>
      </c>
      <c r="B52" s="7" t="inlineStr">
        <is>
          <t>EBITDA Margin %</t>
        </is>
      </c>
      <c r="C52" s="7" t="inlineStr">
        <is>
          <t>management_case</t>
        </is>
      </c>
      <c r="D52" s="7" t="n"/>
      <c r="E52" s="7" t="n"/>
      <c r="F52" s="7" t="inlineStr">
        <is>
          <t>FY2028</t>
        </is>
      </c>
      <c r="G52" s="7" t="n">
        <v>55</v>
      </c>
    </row>
    <row r="53">
      <c r="A53" s="7" t="inlineStr">
        <is>
          <t>sector_kpi_3</t>
        </is>
      </c>
      <c r="B53" s="7" t="inlineStr">
        <is>
          <t>EBITDA Margin %</t>
        </is>
      </c>
      <c r="C53" s="7" t="inlineStr">
        <is>
          <t>management_case</t>
        </is>
      </c>
      <c r="D53" s="7" t="n"/>
      <c r="E53" s="7" t="n"/>
      <c r="F53" s="7" t="inlineStr">
        <is>
          <t>FY2029</t>
        </is>
      </c>
      <c r="G53" s="7" t="n">
        <v>55</v>
      </c>
    </row>
    <row r="54">
      <c r="A54" s="7" t="inlineStr">
        <is>
          <t>sector_kpi_3</t>
        </is>
      </c>
      <c r="B54" s="7" t="inlineStr">
        <is>
          <t>EBITDA Margin %</t>
        </is>
      </c>
      <c r="C54" s="7" t="inlineStr">
        <is>
          <t>management_case</t>
        </is>
      </c>
      <c r="D54" s="7" t="n"/>
      <c r="E54" s="7" t="n"/>
      <c r="F54" s="7" t="inlineStr">
        <is>
          <t>FY2030</t>
        </is>
      </c>
      <c r="G54" s="7" t="n">
        <v>55</v>
      </c>
    </row>
    <row r="55">
      <c r="A55" s="7" t="inlineStr">
        <is>
          <t>sector_kpi_3</t>
        </is>
      </c>
      <c r="B55" s="7" t="inlineStr">
        <is>
          <t>EBITDA Margin %</t>
        </is>
      </c>
      <c r="C55" s="7" t="inlineStr">
        <is>
          <t>management_case</t>
        </is>
      </c>
      <c r="D55" s="7" t="n"/>
      <c r="E55" s="7" t="n"/>
      <c r="F55" s="7" t="inlineStr">
        <is>
          <t>FY2031</t>
        </is>
      </c>
      <c r="G55" s="7" t="n">
        <v>55</v>
      </c>
    </row>
    <row r="56">
      <c r="A56" s="7" t="inlineStr">
        <is>
          <t>sector_kpi_3</t>
        </is>
      </c>
      <c r="B56" s="7" t="inlineStr">
        <is>
          <t>EBITDA Margin %</t>
        </is>
      </c>
      <c r="C56" s="7" t="inlineStr">
        <is>
          <t>management_case</t>
        </is>
      </c>
      <c r="D56" s="7" t="n"/>
      <c r="E56" s="7" t="n"/>
      <c r="F56" s="7" t="inlineStr">
        <is>
          <t>FY2032</t>
        </is>
      </c>
      <c r="G56" s="7" t="n">
        <v>55</v>
      </c>
    </row>
    <row r="57">
      <c r="A57" s="7" t="inlineStr">
        <is>
          <t>sector_kpi_3</t>
        </is>
      </c>
      <c r="B57" s="7" t="inlineStr">
        <is>
          <t>EBITDA Margin %</t>
        </is>
      </c>
      <c r="C57" s="7" t="inlineStr">
        <is>
          <t>management_case</t>
        </is>
      </c>
      <c r="D57" s="7" t="n"/>
      <c r="E57" s="7" t="n"/>
      <c r="F57" s="7" t="inlineStr">
        <is>
          <t>FY2033</t>
        </is>
      </c>
      <c r="G57" s="7" t="n">
        <v>55</v>
      </c>
    </row>
    <row r="58">
      <c r="A58" s="7" t="inlineStr">
        <is>
          <t>sector_kpi_3</t>
        </is>
      </c>
      <c r="B58" s="7" t="inlineStr">
        <is>
          <t>EBITDA Margin %</t>
        </is>
      </c>
      <c r="C58" s="7" t="inlineStr">
        <is>
          <t>combined_downside</t>
        </is>
      </c>
      <c r="D58" s="7" t="n"/>
      <c r="E58" s="7" t="n"/>
      <c r="F58" s="7" t="inlineStr">
        <is>
          <t>FY2025</t>
        </is>
      </c>
      <c r="G58" s="7" t="n">
        <v>40</v>
      </c>
    </row>
    <row r="59">
      <c r="A59" s="7" t="inlineStr">
        <is>
          <t>sector_kpi_3</t>
        </is>
      </c>
      <c r="B59" s="7" t="inlineStr">
        <is>
          <t>EBITDA Margin %</t>
        </is>
      </c>
      <c r="C59" s="7" t="inlineStr">
        <is>
          <t>combined_downside</t>
        </is>
      </c>
      <c r="D59" s="7" t="n"/>
      <c r="E59" s="7" t="n"/>
      <c r="F59" s="7" t="inlineStr">
        <is>
          <t>FY2026</t>
        </is>
      </c>
      <c r="G59" s="7" t="n">
        <v>42</v>
      </c>
    </row>
    <row r="60">
      <c r="A60" s="7" t="inlineStr">
        <is>
          <t>sector_kpi_3</t>
        </is>
      </c>
      <c r="B60" s="7" t="inlineStr">
        <is>
          <t>EBITDA Margin %</t>
        </is>
      </c>
      <c r="C60" s="7" t="inlineStr">
        <is>
          <t>combined_downside</t>
        </is>
      </c>
      <c r="D60" s="7" t="n"/>
      <c r="E60" s="7" t="n"/>
      <c r="F60" s="7" t="inlineStr">
        <is>
          <t>FY2027</t>
        </is>
      </c>
      <c r="G60" s="7" t="n">
        <v>45</v>
      </c>
    </row>
    <row r="61">
      <c r="A61" s="7" t="inlineStr">
        <is>
          <t>sector_kpi_3</t>
        </is>
      </c>
      <c r="B61" s="7" t="inlineStr">
        <is>
          <t>EBITDA Margin %</t>
        </is>
      </c>
      <c r="C61" s="7" t="inlineStr">
        <is>
          <t>combined_downside</t>
        </is>
      </c>
      <c r="D61" s="7" t="n"/>
      <c r="E61" s="7" t="n"/>
      <c r="F61" s="7" t="inlineStr">
        <is>
          <t>FY2028</t>
        </is>
      </c>
      <c r="G61" s="7" t="n">
        <v>47</v>
      </c>
    </row>
    <row r="62">
      <c r="A62" s="7" t="inlineStr">
        <is>
          <t>sector_kpi_3</t>
        </is>
      </c>
      <c r="B62" s="7" t="inlineStr">
        <is>
          <t>EBITDA Margin %</t>
        </is>
      </c>
      <c r="C62" s="7" t="inlineStr">
        <is>
          <t>combined_downside</t>
        </is>
      </c>
      <c r="D62" s="7" t="n"/>
      <c r="E62" s="7" t="n"/>
      <c r="F62" s="7" t="inlineStr">
        <is>
          <t>FY2029</t>
        </is>
      </c>
      <c r="G62" s="7" t="n">
        <v>48</v>
      </c>
    </row>
    <row r="63">
      <c r="A63" t="inlineStr">
        <is>
          <t>sector_kpi_3</t>
        </is>
      </c>
      <c r="B63" t="inlineStr">
        <is>
          <t>EBITDA Margin %</t>
        </is>
      </c>
      <c r="C63" t="inlineStr">
        <is>
          <t>combined_downside</t>
        </is>
      </c>
      <c r="F63" t="inlineStr">
        <is>
          <t>FY2030</t>
        </is>
      </c>
      <c r="G63" t="n">
        <v>49</v>
      </c>
    </row>
    <row r="64">
      <c r="A64" t="inlineStr">
        <is>
          <t>sector_kpi_3</t>
        </is>
      </c>
      <c r="B64" t="inlineStr">
        <is>
          <t>EBITDA Margin %</t>
        </is>
      </c>
      <c r="C64" t="inlineStr">
        <is>
          <t>combined_downside</t>
        </is>
      </c>
      <c r="F64" t="inlineStr">
        <is>
          <t>FY2031</t>
        </is>
      </c>
      <c r="G64" t="n">
        <v>50</v>
      </c>
    </row>
    <row r="65">
      <c r="A65" t="inlineStr">
        <is>
          <t>sector_kpi_3</t>
        </is>
      </c>
      <c r="B65" t="inlineStr">
        <is>
          <t>EBITDA Margin %</t>
        </is>
      </c>
      <c r="C65" t="inlineStr">
        <is>
          <t>combined_downside</t>
        </is>
      </c>
      <c r="F65" t="inlineStr">
        <is>
          <t>FY2032</t>
        </is>
      </c>
      <c r="G65" t="n">
        <v>50</v>
      </c>
    </row>
    <row r="66">
      <c r="A66" t="inlineStr">
        <is>
          <t>sector_kpi_3</t>
        </is>
      </c>
      <c r="B66" t="inlineStr">
        <is>
          <t>EBITDA Margin %</t>
        </is>
      </c>
      <c r="C66" t="inlineStr">
        <is>
          <t>combined_downside</t>
        </is>
      </c>
      <c r="F66" t="inlineStr">
        <is>
          <t>FY2033</t>
        </is>
      </c>
      <c r="G66" t="n">
        <v>50</v>
      </c>
    </row>
    <row r="67">
      <c r="A67" t="inlineStr">
        <is>
          <t>sector_kpi_4</t>
        </is>
      </c>
      <c r="B67" t="inlineStr">
        <is>
          <t>Senior ICR</t>
        </is>
      </c>
      <c r="C67" t="inlineStr">
        <is>
          <t>management_case</t>
        </is>
      </c>
      <c r="F67" t="inlineStr">
        <is>
          <t>FY2025</t>
        </is>
      </c>
      <c r="G67" t="n">
        <v>4</v>
      </c>
    </row>
    <row r="68">
      <c r="A68" t="inlineStr">
        <is>
          <t>sector_kpi_4</t>
        </is>
      </c>
      <c r="B68" t="inlineStr">
        <is>
          <t>Senior ICR</t>
        </is>
      </c>
      <c r="C68" t="inlineStr">
        <is>
          <t>management_case</t>
        </is>
      </c>
      <c r="F68" t="inlineStr">
        <is>
          <t>FY2026</t>
        </is>
      </c>
      <c r="G68" t="n">
        <v>4.2</v>
      </c>
    </row>
    <row r="69">
      <c r="A69" t="inlineStr">
        <is>
          <t>sector_kpi_4</t>
        </is>
      </c>
      <c r="B69" t="inlineStr">
        <is>
          <t>Senior ICR</t>
        </is>
      </c>
      <c r="C69" t="inlineStr">
        <is>
          <t>management_case</t>
        </is>
      </c>
      <c r="F69" t="inlineStr">
        <is>
          <t>FY2027</t>
        </is>
      </c>
      <c r="G69" t="n">
        <v>4.4</v>
      </c>
    </row>
    <row r="70">
      <c r="A70" t="inlineStr">
        <is>
          <t>sector_kpi_4</t>
        </is>
      </c>
      <c r="B70" t="inlineStr">
        <is>
          <t>Senior ICR</t>
        </is>
      </c>
      <c r="C70" t="inlineStr">
        <is>
          <t>management_case</t>
        </is>
      </c>
      <c r="F70" t="inlineStr">
        <is>
          <t>FY2028</t>
        </is>
      </c>
      <c r="G70" t="n">
        <v>4.6</v>
      </c>
    </row>
    <row r="71">
      <c r="A71" t="inlineStr">
        <is>
          <t>sector_kpi_4</t>
        </is>
      </c>
      <c r="B71" t="inlineStr">
        <is>
          <t>Senior ICR</t>
        </is>
      </c>
      <c r="C71" t="inlineStr">
        <is>
          <t>management_case</t>
        </is>
      </c>
      <c r="F71" t="inlineStr">
        <is>
          <t>FY2029</t>
        </is>
      </c>
      <c r="G71" t="n">
        <v>4.8</v>
      </c>
    </row>
    <row r="72">
      <c r="A72" t="inlineStr">
        <is>
          <t>sector_kpi_4</t>
        </is>
      </c>
      <c r="B72" t="inlineStr">
        <is>
          <t>Senior ICR</t>
        </is>
      </c>
      <c r="C72" t="inlineStr">
        <is>
          <t>management_case</t>
        </is>
      </c>
      <c r="F72" t="inlineStr">
        <is>
          <t>FY2030</t>
        </is>
      </c>
      <c r="G72" t="n">
        <v>5</v>
      </c>
    </row>
    <row r="73">
      <c r="A73" t="inlineStr">
        <is>
          <t>sector_kpi_4</t>
        </is>
      </c>
      <c r="B73" t="inlineStr">
        <is>
          <t>Senior ICR</t>
        </is>
      </c>
      <c r="C73" t="inlineStr">
        <is>
          <t>management_case</t>
        </is>
      </c>
      <c r="F73" t="inlineStr">
        <is>
          <t>FY2031</t>
        </is>
      </c>
      <c r="G73" t="n">
        <v>5.2</v>
      </c>
    </row>
    <row r="74">
      <c r="A74" t="inlineStr">
        <is>
          <t>sector_kpi_4</t>
        </is>
      </c>
      <c r="B74" t="inlineStr">
        <is>
          <t>Senior ICR</t>
        </is>
      </c>
      <c r="C74" t="inlineStr">
        <is>
          <t>management_case</t>
        </is>
      </c>
      <c r="F74" t="inlineStr">
        <is>
          <t>FY2032</t>
        </is>
      </c>
      <c r="G74" t="n">
        <v>5.4</v>
      </c>
    </row>
    <row r="75">
      <c r="A75" t="inlineStr">
        <is>
          <t>sector_kpi_4</t>
        </is>
      </c>
      <c r="B75" t="inlineStr">
        <is>
          <t>Senior ICR</t>
        </is>
      </c>
      <c r="C75" t="inlineStr">
        <is>
          <t>management_case</t>
        </is>
      </c>
      <c r="F75" t="inlineStr">
        <is>
          <t>FY2033</t>
        </is>
      </c>
      <c r="G75" t="n">
        <v>5.6</v>
      </c>
    </row>
    <row r="76">
      <c r="A76" t="inlineStr">
        <is>
          <t>sector_kpi_4</t>
        </is>
      </c>
      <c r="B76" t="inlineStr">
        <is>
          <t>Senior ICR</t>
        </is>
      </c>
      <c r="C76" t="inlineStr">
        <is>
          <t>combined_downside</t>
        </is>
      </c>
      <c r="F76" t="inlineStr">
        <is>
          <t>FY2025</t>
        </is>
      </c>
      <c r="G76" t="n">
        <v>2</v>
      </c>
    </row>
    <row r="77">
      <c r="A77" t="inlineStr">
        <is>
          <t>sector_kpi_4</t>
        </is>
      </c>
      <c r="B77" t="inlineStr">
        <is>
          <t>Senior ICR</t>
        </is>
      </c>
      <c r="C77" t="inlineStr">
        <is>
          <t>combined_downside</t>
        </is>
      </c>
      <c r="F77" t="inlineStr">
        <is>
          <t>FY2026</t>
        </is>
      </c>
      <c r="G77" t="n">
        <v>2.2</v>
      </c>
    </row>
    <row r="78">
      <c r="A78" t="inlineStr">
        <is>
          <t>sector_kpi_4</t>
        </is>
      </c>
      <c r="B78" t="inlineStr">
        <is>
          <t>Senior ICR</t>
        </is>
      </c>
      <c r="C78" t="inlineStr">
        <is>
          <t>combined_downside</t>
        </is>
      </c>
      <c r="F78" t="inlineStr">
        <is>
          <t>FY2027</t>
        </is>
      </c>
      <c r="G78" t="n">
        <v>2.5</v>
      </c>
    </row>
    <row r="79">
      <c r="A79" t="inlineStr">
        <is>
          <t>sector_kpi_4</t>
        </is>
      </c>
      <c r="B79" t="inlineStr">
        <is>
          <t>Senior ICR</t>
        </is>
      </c>
      <c r="C79" t="inlineStr">
        <is>
          <t>combined_downside</t>
        </is>
      </c>
      <c r="F79" t="inlineStr">
        <is>
          <t>FY2028</t>
        </is>
      </c>
      <c r="G79" t="n">
        <v>2.8</v>
      </c>
    </row>
    <row r="80">
      <c r="A80" t="inlineStr">
        <is>
          <t>sector_kpi_4</t>
        </is>
      </c>
      <c r="B80" t="inlineStr">
        <is>
          <t>Senior ICR</t>
        </is>
      </c>
      <c r="C80" t="inlineStr">
        <is>
          <t>combined_downside</t>
        </is>
      </c>
      <c r="F80" t="inlineStr">
        <is>
          <t>FY2029</t>
        </is>
      </c>
      <c r="G80" t="n">
        <v>3</v>
      </c>
    </row>
    <row r="81">
      <c r="A81" t="inlineStr">
        <is>
          <t>sector_kpi_4</t>
        </is>
      </c>
      <c r="B81" t="inlineStr">
        <is>
          <t>Senior ICR</t>
        </is>
      </c>
      <c r="C81" t="inlineStr">
        <is>
          <t>combined_downside</t>
        </is>
      </c>
      <c r="F81" t="inlineStr">
        <is>
          <t>FY2030</t>
        </is>
      </c>
      <c r="G81" t="n">
        <v>3.2</v>
      </c>
    </row>
    <row r="82">
      <c r="A82" t="inlineStr">
        <is>
          <t>sector_kpi_4</t>
        </is>
      </c>
      <c r="B82" t="inlineStr">
        <is>
          <t>Senior ICR</t>
        </is>
      </c>
      <c r="C82" t="inlineStr">
        <is>
          <t>combined_downside</t>
        </is>
      </c>
      <c r="F82" t="inlineStr">
        <is>
          <t>FY2031</t>
        </is>
      </c>
      <c r="G82" t="n">
        <v>3.4</v>
      </c>
    </row>
    <row r="83">
      <c r="A83" t="inlineStr">
        <is>
          <t>sector_kpi_4</t>
        </is>
      </c>
      <c r="B83" t="inlineStr">
        <is>
          <t>Senior ICR</t>
        </is>
      </c>
      <c r="C83" t="inlineStr">
        <is>
          <t>combined_downside</t>
        </is>
      </c>
      <c r="F83" t="inlineStr">
        <is>
          <t>FY2032</t>
        </is>
      </c>
      <c r="G83" t="n">
        <v>3.5</v>
      </c>
    </row>
    <row r="84">
      <c r="A84" t="inlineStr">
        <is>
          <t>sector_kpi_4</t>
        </is>
      </c>
      <c r="B84" t="inlineStr">
        <is>
          <t>Senior ICR</t>
        </is>
      </c>
      <c r="C84" t="inlineStr">
        <is>
          <t>combined_downside</t>
        </is>
      </c>
      <c r="F84" t="inlineStr">
        <is>
          <t>FY2033</t>
        </is>
      </c>
      <c r="G84" t="n">
        <v>3.6</v>
      </c>
    </row>
    <row r="85">
      <c r="A85" t="inlineStr">
        <is>
          <t>sector_kpi_5</t>
        </is>
      </c>
      <c r="B85" t="inlineStr">
        <is>
          <t>Senior RAR</t>
        </is>
      </c>
      <c r="C85" t="inlineStr">
        <is>
          <t>management_case</t>
        </is>
      </c>
      <c r="F85" t="inlineStr">
        <is>
          <t>FY2025</t>
        </is>
      </c>
      <c r="G85" t="n">
        <v>0.48</v>
      </c>
    </row>
    <row r="86">
      <c r="A86" t="inlineStr">
        <is>
          <t>sector_kpi_5</t>
        </is>
      </c>
      <c r="B86" t="inlineStr">
        <is>
          <t>Senior RAR</t>
        </is>
      </c>
      <c r="C86" t="inlineStr">
        <is>
          <t>management_case</t>
        </is>
      </c>
      <c r="F86" t="inlineStr">
        <is>
          <t>FY2026</t>
        </is>
      </c>
      <c r="G86" t="n">
        <v>0.46</v>
      </c>
    </row>
    <row r="87">
      <c r="A87" t="inlineStr">
        <is>
          <t>sector_kpi_5</t>
        </is>
      </c>
      <c r="B87" t="inlineStr">
        <is>
          <t>Senior RAR</t>
        </is>
      </c>
      <c r="C87" t="inlineStr">
        <is>
          <t>management_case</t>
        </is>
      </c>
      <c r="F87" t="inlineStr">
        <is>
          <t>FY2027</t>
        </is>
      </c>
      <c r="G87" t="n">
        <v>0.44</v>
      </c>
    </row>
    <row r="88">
      <c r="A88" t="inlineStr">
        <is>
          <t>sector_kpi_5</t>
        </is>
      </c>
      <c r="B88" t="inlineStr">
        <is>
          <t>Senior RAR</t>
        </is>
      </c>
      <c r="C88" t="inlineStr">
        <is>
          <t>management_case</t>
        </is>
      </c>
      <c r="F88" t="inlineStr">
        <is>
          <t>FY2028</t>
        </is>
      </c>
      <c r="G88" t="n">
        <v>0.42</v>
      </c>
    </row>
    <row r="89">
      <c r="A89" t="inlineStr">
        <is>
          <t>sector_kpi_5</t>
        </is>
      </c>
      <c r="B89" t="inlineStr">
        <is>
          <t>Senior RAR</t>
        </is>
      </c>
      <c r="C89" t="inlineStr">
        <is>
          <t>management_case</t>
        </is>
      </c>
      <c r="F89" t="inlineStr">
        <is>
          <t>FY2029</t>
        </is>
      </c>
      <c r="G89" t="n">
        <v>0.4</v>
      </c>
    </row>
    <row r="90">
      <c r="A90" t="inlineStr">
        <is>
          <t>sector_kpi_5</t>
        </is>
      </c>
      <c r="B90" t="inlineStr">
        <is>
          <t>Senior RAR</t>
        </is>
      </c>
      <c r="C90" t="inlineStr">
        <is>
          <t>management_case</t>
        </is>
      </c>
      <c r="F90" t="inlineStr">
        <is>
          <t>FY2030</t>
        </is>
      </c>
      <c r="G90" t="n">
        <v>0.38</v>
      </c>
    </row>
    <row r="91">
      <c r="A91" t="inlineStr">
        <is>
          <t>sector_kpi_5</t>
        </is>
      </c>
      <c r="B91" t="inlineStr">
        <is>
          <t>Senior RAR</t>
        </is>
      </c>
      <c r="C91" t="inlineStr">
        <is>
          <t>management_case</t>
        </is>
      </c>
      <c r="F91" t="inlineStr">
        <is>
          <t>FY2031</t>
        </is>
      </c>
      <c r="G91" t="n">
        <v>0.36</v>
      </c>
    </row>
    <row r="92">
      <c r="A92" t="inlineStr">
        <is>
          <t>sector_kpi_5</t>
        </is>
      </c>
      <c r="B92" t="inlineStr">
        <is>
          <t>Senior RAR</t>
        </is>
      </c>
      <c r="C92" t="inlineStr">
        <is>
          <t>management_case</t>
        </is>
      </c>
      <c r="F92" t="inlineStr">
        <is>
          <t>FY2032</t>
        </is>
      </c>
      <c r="G92" t="n">
        <v>0.34</v>
      </c>
    </row>
    <row r="93">
      <c r="A93" t="inlineStr">
        <is>
          <t>sector_kpi_5</t>
        </is>
      </c>
      <c r="B93" t="inlineStr">
        <is>
          <t>Senior RAR</t>
        </is>
      </c>
      <c r="C93" t="inlineStr">
        <is>
          <t>management_case</t>
        </is>
      </c>
      <c r="F93" t="inlineStr">
        <is>
          <t>FY2033</t>
        </is>
      </c>
      <c r="G93" t="n">
        <v>0.32</v>
      </c>
    </row>
    <row r="94">
      <c r="A94" t="inlineStr">
        <is>
          <t>sector_kpi_5</t>
        </is>
      </c>
      <c r="B94" t="inlineStr">
        <is>
          <t>Senior RAR</t>
        </is>
      </c>
      <c r="C94" t="inlineStr">
        <is>
          <t>combined_downside</t>
        </is>
      </c>
      <c r="F94" t="inlineStr">
        <is>
          <t>FY2025</t>
        </is>
      </c>
      <c r="G94" t="n">
        <v>0.55</v>
      </c>
    </row>
    <row r="95">
      <c r="A95" t="inlineStr">
        <is>
          <t>sector_kpi_5</t>
        </is>
      </c>
      <c r="B95" t="inlineStr">
        <is>
          <t>Senior RAR</t>
        </is>
      </c>
      <c r="C95" t="inlineStr">
        <is>
          <t>combined_downside</t>
        </is>
      </c>
      <c r="F95" t="inlineStr">
        <is>
          <t>FY2026</t>
        </is>
      </c>
      <c r="G95" t="n">
        <v>0.53</v>
      </c>
    </row>
    <row r="96">
      <c r="A96" t="inlineStr">
        <is>
          <t>sector_kpi_5</t>
        </is>
      </c>
      <c r="B96" t="inlineStr">
        <is>
          <t>Senior RAR</t>
        </is>
      </c>
      <c r="C96" t="inlineStr">
        <is>
          <t>combined_downside</t>
        </is>
      </c>
      <c r="F96" t="inlineStr">
        <is>
          <t>FY2027</t>
        </is>
      </c>
      <c r="G96" t="n">
        <v>0.52</v>
      </c>
    </row>
    <row r="97">
      <c r="A97" t="inlineStr">
        <is>
          <t>sector_kpi_5</t>
        </is>
      </c>
      <c r="B97" t="inlineStr">
        <is>
          <t>Senior RAR</t>
        </is>
      </c>
      <c r="C97" t="inlineStr">
        <is>
          <t>combined_downside</t>
        </is>
      </c>
      <c r="F97" t="inlineStr">
        <is>
          <t>FY2028</t>
        </is>
      </c>
      <c r="G97" t="n">
        <v>0.5</v>
      </c>
    </row>
    <row r="98">
      <c r="A98" t="inlineStr">
        <is>
          <t>sector_kpi_5</t>
        </is>
      </c>
      <c r="B98" t="inlineStr">
        <is>
          <t>Senior RAR</t>
        </is>
      </c>
      <c r="C98" t="inlineStr">
        <is>
          <t>combined_downside</t>
        </is>
      </c>
      <c r="F98" t="inlineStr">
        <is>
          <t>FY2029</t>
        </is>
      </c>
      <c r="G98" t="n">
        <v>0.49</v>
      </c>
    </row>
    <row r="99">
      <c r="A99" t="inlineStr">
        <is>
          <t>sector_kpi_5</t>
        </is>
      </c>
      <c r="B99" t="inlineStr">
        <is>
          <t>Senior RAR</t>
        </is>
      </c>
      <c r="C99" t="inlineStr">
        <is>
          <t>combined_downside</t>
        </is>
      </c>
      <c r="F99" t="inlineStr">
        <is>
          <t>FY2030</t>
        </is>
      </c>
      <c r="G99" t="n">
        <v>0.48</v>
      </c>
    </row>
    <row r="100">
      <c r="A100" t="inlineStr">
        <is>
          <t>sector_kpi_5</t>
        </is>
      </c>
      <c r="B100" t="inlineStr">
        <is>
          <t>Senior RAR</t>
        </is>
      </c>
      <c r="C100" t="inlineStr">
        <is>
          <t>combined_downside</t>
        </is>
      </c>
      <c r="F100" t="inlineStr">
        <is>
          <t>FY2031</t>
        </is>
      </c>
      <c r="G100" t="n">
        <v>0.47</v>
      </c>
    </row>
    <row r="101">
      <c r="A101" t="inlineStr">
        <is>
          <t>sector_kpi_5</t>
        </is>
      </c>
      <c r="B101" t="inlineStr">
        <is>
          <t>Senior RAR</t>
        </is>
      </c>
      <c r="C101" t="inlineStr">
        <is>
          <t>combined_downside</t>
        </is>
      </c>
      <c r="F101" t="inlineStr">
        <is>
          <t>FY2032</t>
        </is>
      </c>
      <c r="G101" t="n">
        <v>0.46</v>
      </c>
    </row>
    <row r="102">
      <c r="A102" t="inlineStr">
        <is>
          <t>sector_kpi_5</t>
        </is>
      </c>
      <c r="B102" t="inlineStr">
        <is>
          <t>Senior RAR</t>
        </is>
      </c>
      <c r="C102" t="inlineStr">
        <is>
          <t>combined_downside</t>
        </is>
      </c>
      <c r="F102" t="inlineStr">
        <is>
          <t>FY2033</t>
        </is>
      </c>
      <c r="G102" t="n">
        <v>0.45</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airport</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FY2019</t>
        </is>
      </c>
      <c r="C10" t="inlineStr">
        <is>
          <t>2019-01-01</t>
        </is>
      </c>
      <c r="D10" t="inlineStr">
        <is>
          <t>2019-12-31</t>
        </is>
      </c>
    </row>
    <row r="11">
      <c r="A11" s="2" t="inlineStr">
        <is>
          <t>PERIOD HEADERS — Fill in below. These become column headers on forecast tabs. Max 80 periods.</t>
        </is>
      </c>
      <c r="D11" t="inlineStr">
        <is>
          <t>2020-12-31</t>
        </is>
      </c>
    </row>
    <row r="12">
      <c r="A12" s="3" t="n">
        <v>3</v>
      </c>
      <c r="B12" s="3" t="inlineStr">
        <is>
          <t>FY2021</t>
        </is>
      </c>
      <c r="C12" s="3" t="inlineStr">
        <is>
          <t>2021-01-01</t>
        </is>
      </c>
      <c r="D12" s="3" t="inlineStr">
        <is>
          <t>2021-12-31</t>
        </is>
      </c>
    </row>
    <row r="13">
      <c r="A13" s="9" t="n">
        <v>4</v>
      </c>
      <c r="B13" s="7" t="inlineStr">
        <is>
          <t>FY2022</t>
        </is>
      </c>
      <c r="C13" s="7" t="inlineStr">
        <is>
          <t>2022-01-01</t>
        </is>
      </c>
      <c r="D13" s="7" t="inlineStr">
        <is>
          <t>2022-12-31</t>
        </is>
      </c>
    </row>
    <row r="14">
      <c r="A14" s="9" t="n">
        <v>5</v>
      </c>
      <c r="B14" s="7" t="inlineStr">
        <is>
          <t>FY2023</t>
        </is>
      </c>
      <c r="C14" s="7" t="inlineStr">
        <is>
          <t>2023-01-01</t>
        </is>
      </c>
      <c r="D14" s="7" t="inlineStr">
        <is>
          <t>2023-12-31</t>
        </is>
      </c>
    </row>
    <row r="15">
      <c r="A15" s="9" t="n">
        <v>6</v>
      </c>
      <c r="B15" s="7" t="inlineStr">
        <is>
          <t>FY2024</t>
        </is>
      </c>
      <c r="C15" s="7" t="inlineStr">
        <is>
          <t>2024-01-01</t>
        </is>
      </c>
      <c r="D15" s="7" t="inlineStr">
        <is>
          <t>2024-12-31</t>
        </is>
      </c>
    </row>
    <row r="16">
      <c r="A16" s="9" t="n">
        <v>7</v>
      </c>
      <c r="B16" s="7" t="inlineStr">
        <is>
          <t>FY2025</t>
        </is>
      </c>
      <c r="C16" s="7" t="inlineStr">
        <is>
          <t>2025-01-01</t>
        </is>
      </c>
      <c r="D16" s="7" t="inlineStr">
        <is>
          <t>2025-12-31</t>
        </is>
      </c>
    </row>
    <row r="17">
      <c r="A17" s="9" t="n">
        <v>8</v>
      </c>
      <c r="B17" s="7" t="inlineStr">
        <is>
          <t>FY2026</t>
        </is>
      </c>
      <c r="C17" s="7" t="inlineStr">
        <is>
          <t>2026-01-01</t>
        </is>
      </c>
      <c r="D17" s="7" t="inlineStr">
        <is>
          <t>2026-12-31</t>
        </is>
      </c>
    </row>
    <row r="18">
      <c r="A18" s="9" t="n">
        <v>9</v>
      </c>
      <c r="B18" s="7" t="inlineStr">
        <is>
          <t>FY2027</t>
        </is>
      </c>
      <c r="C18" s="7" t="inlineStr">
        <is>
          <t>2027-01-01</t>
        </is>
      </c>
      <c r="D18" s="7" t="inlineStr">
        <is>
          <t>2027-12-31</t>
        </is>
      </c>
    </row>
    <row r="19">
      <c r="A19" s="9" t="n">
        <v>10</v>
      </c>
      <c r="B19" s="7" t="inlineStr">
        <is>
          <t>FY2028</t>
        </is>
      </c>
      <c r="C19" s="7" t="inlineStr">
        <is>
          <t>2028-01-01</t>
        </is>
      </c>
      <c r="D19" s="7" t="inlineStr">
        <is>
          <t>2028-12-31</t>
        </is>
      </c>
    </row>
    <row r="20">
      <c r="A20" s="9" t="n">
        <v>11</v>
      </c>
      <c r="B20" s="7" t="inlineStr">
        <is>
          <t>FY2029</t>
        </is>
      </c>
      <c r="C20" s="7" t="inlineStr">
        <is>
          <t>2029-01-01</t>
        </is>
      </c>
      <c r="D20" s="7" t="inlineStr">
        <is>
          <t>2029-12-31</t>
        </is>
      </c>
    </row>
    <row r="21">
      <c r="A21" s="9" t="n">
        <v>12</v>
      </c>
      <c r="B21" s="7" t="inlineStr">
        <is>
          <t>FY2030</t>
        </is>
      </c>
      <c r="C21" s="7" t="inlineStr">
        <is>
          <t>2030-01-01</t>
        </is>
      </c>
      <c r="D21" s="7" t="inlineStr">
        <is>
          <t>2030-12-31</t>
        </is>
      </c>
    </row>
    <row r="22">
      <c r="A22" s="9" t="n">
        <v>13</v>
      </c>
      <c r="B22" s="7" t="inlineStr">
        <is>
          <t>FY2031</t>
        </is>
      </c>
      <c r="C22" s="7" t="inlineStr">
        <is>
          <t>2031-01-01</t>
        </is>
      </c>
      <c r="D22" s="7" t="inlineStr">
        <is>
          <t>2031-12-31</t>
        </is>
      </c>
    </row>
    <row r="23">
      <c r="A23" s="9" t="n">
        <v>14</v>
      </c>
      <c r="B23" s="7" t="inlineStr">
        <is>
          <t>FY2032</t>
        </is>
      </c>
      <c r="C23" s="7" t="inlineStr">
        <is>
          <t>2032-01-01</t>
        </is>
      </c>
      <c r="D23" s="7" t="inlineStr">
        <is>
          <t>2032-12-31</t>
        </is>
      </c>
    </row>
    <row r="24">
      <c r="A24" s="9" t="n">
        <v>15</v>
      </c>
      <c r="B24" s="7" t="inlineStr">
        <is>
          <t>FY2033</t>
        </is>
      </c>
      <c r="C24" s="7" t="inlineStr">
        <is>
          <t>2033-01-01</t>
        </is>
      </c>
      <c r="D24" s="7" t="inlineStr">
        <is>
          <t>2033-12-31</t>
        </is>
      </c>
    </row>
    <row r="25">
      <c r="A25" s="9" t="n">
        <v>16</v>
      </c>
      <c r="B25" s="7" t="inlineStr">
        <is>
          <t>FY2034</t>
        </is>
      </c>
      <c r="C25" s="7" t="inlineStr">
        <is>
          <t>2034-01-01</t>
        </is>
      </c>
      <c r="D25" s="7" t="inlineStr">
        <is>
          <t>2034-12-31</t>
        </is>
      </c>
    </row>
    <row r="26">
      <c r="A26" s="9" t="n">
        <v>17</v>
      </c>
      <c r="B26" s="7" t="inlineStr">
        <is>
          <t>FY2035</t>
        </is>
      </c>
      <c r="C26" s="7" t="inlineStr">
        <is>
          <t>2035-01-01</t>
        </is>
      </c>
      <c r="D26" s="7" t="inlineStr">
        <is>
          <t>2035-12-31</t>
        </is>
      </c>
    </row>
    <row r="27">
      <c r="A27" s="9" t="n">
        <v>18</v>
      </c>
      <c r="B27" s="7" t="inlineStr">
        <is>
          <t>FY2036</t>
        </is>
      </c>
      <c r="C27" s="7" t="inlineStr">
        <is>
          <t>2036-01-01</t>
        </is>
      </c>
      <c r="D27" s="7" t="inlineStr">
        <is>
          <t>2036-12-31</t>
        </is>
      </c>
    </row>
    <row r="28">
      <c r="A28" s="9" t="n">
        <v>19</v>
      </c>
      <c r="B28" s="7" t="inlineStr">
        <is>
          <t>FY2037</t>
        </is>
      </c>
      <c r="C28" s="7" t="inlineStr">
        <is>
          <t>2037-01-01</t>
        </is>
      </c>
      <c r="D28" s="7" t="inlineStr">
        <is>
          <t>2037-12-31</t>
        </is>
      </c>
    </row>
    <row r="29">
      <c r="A29" s="9" t="n">
        <v>20</v>
      </c>
      <c r="B29" s="7" t="inlineStr">
        <is>
          <t>FY2038</t>
        </is>
      </c>
      <c r="C29" s="7" t="inlineStr">
        <is>
          <t>2038-01-01</t>
        </is>
      </c>
      <c r="D29" s="7" t="inlineStr">
        <is>
          <t>2038-12-31</t>
        </is>
      </c>
    </row>
    <row r="30">
      <c r="A30" s="9" t="n">
        <v>21</v>
      </c>
      <c r="B30" s="7" t="inlineStr">
        <is>
          <t>FY2039</t>
        </is>
      </c>
      <c r="C30" s="7" t="inlineStr">
        <is>
          <t>2039-01-01</t>
        </is>
      </c>
      <c r="D30" s="7" t="inlineStr">
        <is>
          <t>2039-12-31</t>
        </is>
      </c>
    </row>
    <row r="31">
      <c r="A31" s="9" t="n">
        <v>22</v>
      </c>
      <c r="B31" s="7" t="inlineStr">
        <is>
          <t>FY2040</t>
        </is>
      </c>
      <c r="C31" s="7" t="inlineStr">
        <is>
          <t>2040-01-01</t>
        </is>
      </c>
      <c r="D31" s="7" t="inlineStr">
        <is>
          <t>2040-12-31</t>
        </is>
      </c>
    </row>
    <row r="32">
      <c r="A32" s="9" t="n">
        <v>23</v>
      </c>
      <c r="B32" s="7" t="inlineStr">
        <is>
          <t>FY2041</t>
        </is>
      </c>
      <c r="C32" s="7" t="inlineStr">
        <is>
          <t>2041-01-01</t>
        </is>
      </c>
      <c r="D32" s="7" t="inlineStr">
        <is>
          <t>2041-12-31</t>
        </is>
      </c>
    </row>
    <row r="33">
      <c r="A33" s="9" t="n">
        <v>24</v>
      </c>
      <c r="B33" s="7" t="inlineStr">
        <is>
          <t>FY2042</t>
        </is>
      </c>
      <c r="C33" s="7" t="inlineStr">
        <is>
          <t>2042-01-01</t>
        </is>
      </c>
      <c r="D33" s="7" t="inlineStr">
        <is>
          <t>2042-12-31</t>
        </is>
      </c>
    </row>
    <row r="34">
      <c r="A34" s="9" t="n">
        <v>25</v>
      </c>
      <c r="B34" s="7" t="inlineStr">
        <is>
          <t>FY2043</t>
        </is>
      </c>
      <c r="C34" s="7" t="inlineStr">
        <is>
          <t>2043-01-01</t>
        </is>
      </c>
      <c r="D34" s="7" t="inlineStr">
        <is>
          <t>2043-12-31</t>
        </is>
      </c>
    </row>
    <row r="35">
      <c r="A35" s="9" t="n">
        <v>26</v>
      </c>
      <c r="B35" s="7" t="inlineStr">
        <is>
          <t>FY2044</t>
        </is>
      </c>
      <c r="C35" s="7" t="inlineStr">
        <is>
          <t>2044-01-01</t>
        </is>
      </c>
      <c r="D35" s="7" t="inlineStr">
        <is>
          <t>2044-12-31</t>
        </is>
      </c>
    </row>
    <row r="36">
      <c r="A36" s="9" t="n">
        <v>27</v>
      </c>
      <c r="B36" s="7" t="inlineStr">
        <is>
          <t>FY2045</t>
        </is>
      </c>
      <c r="C36" s="7" t="inlineStr">
        <is>
          <t>2045-01-01</t>
        </is>
      </c>
      <c r="D36" s="7" t="inlineStr">
        <is>
          <t>2045-12-31</t>
        </is>
      </c>
    </row>
    <row r="37">
      <c r="A37" s="9" t="n">
        <v>28</v>
      </c>
      <c r="B37" s="7" t="inlineStr">
        <is>
          <t>FY2046</t>
        </is>
      </c>
      <c r="C37" s="7" t="inlineStr">
        <is>
          <t>2046-01-01</t>
        </is>
      </c>
      <c r="D37" s="7" t="inlineStr">
        <is>
          <t>2046-12-31</t>
        </is>
      </c>
    </row>
    <row r="38">
      <c r="A38" s="9" t="n">
        <v>29</v>
      </c>
      <c r="B38" s="7" t="inlineStr">
        <is>
          <t>FY2047</t>
        </is>
      </c>
      <c r="C38" s="7" t="inlineStr">
        <is>
          <t>2047-01-01</t>
        </is>
      </c>
      <c r="D38" s="7" t="inlineStr">
        <is>
          <t>2047-12-31</t>
        </is>
      </c>
    </row>
    <row r="39">
      <c r="A39" s="9" t="n">
        <v>30</v>
      </c>
      <c r="B39" s="7" t="inlineStr">
        <is>
          <t>FY2048</t>
        </is>
      </c>
      <c r="C39" s="7" t="inlineStr">
        <is>
          <t>2048-01-01</t>
        </is>
      </c>
      <c r="D39" s="7" t="inlineStr">
        <is>
          <t>2048-12-31</t>
        </is>
      </c>
    </row>
    <row r="40">
      <c r="A40" s="9" t="n">
        <v>31</v>
      </c>
      <c r="B40" s="7" t="inlineStr">
        <is>
          <t>FY2049</t>
        </is>
      </c>
      <c r="C40" s="7" t="inlineStr">
        <is>
          <t>2049-01-01</t>
        </is>
      </c>
      <c r="D40" s="7" t="inlineStr">
        <is>
          <t>2049-12-31</t>
        </is>
      </c>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959466667</v>
      </c>
      <c r="D4" s="21" t="n">
        <v>994384000</v>
      </c>
      <c r="E4" s="21" t="n">
        <v>1030655520</v>
      </c>
      <c r="F4" s="21" t="n">
        <v>1068337186</v>
      </c>
      <c r="G4" s="21" t="n">
        <v>1107487401</v>
      </c>
      <c r="H4" s="21" t="n">
        <v>1148167128</v>
      </c>
      <c r="I4" s="21" t="n">
        <v>1190440002</v>
      </c>
      <c r="J4" s="21" t="n">
        <v>1234372456</v>
      </c>
      <c r="K4" s="21" t="n">
        <v>1280033845</v>
      </c>
      <c r="L4" s="21" t="n">
        <v>1327496587</v>
      </c>
      <c r="M4" s="21" t="n">
        <v>1376836298</v>
      </c>
      <c r="N4" s="21" t="n">
        <v>1428131941</v>
      </c>
      <c r="O4" s="21" t="n">
        <v>1481465980</v>
      </c>
      <c r="P4" s="21" t="n">
        <v>1536924545</v>
      </c>
      <c r="Q4" s="21" t="n">
        <v>1594597596</v>
      </c>
      <c r="R4" s="21" t="n">
        <v>1654579105</v>
      </c>
      <c r="S4" s="21" t="n">
        <v>1716967237</v>
      </c>
      <c r="T4" s="21" t="n">
        <v>1781864552</v>
      </c>
      <c r="U4" s="21" t="n">
        <v>1849378201</v>
      </c>
      <c r="V4" s="21" t="n">
        <v>1919620145</v>
      </c>
      <c r="W4" s="21" t="n">
        <v>1992707377</v>
      </c>
      <c r="X4" s="21" t="n">
        <v>2068762157</v>
      </c>
      <c r="Y4" s="21" t="n">
        <v>2147912259</v>
      </c>
      <c r="Z4" s="21" t="n">
        <v>2230291226</v>
      </c>
      <c r="AA4" s="21" t="n">
        <v>2316038642</v>
      </c>
      <c r="AB4" s="21" t="n">
        <v>2405300414</v>
      </c>
      <c r="AC4" s="21" t="n">
        <v>2498229070</v>
      </c>
      <c r="AD4" s="21" t="n">
        <v>2594984068</v>
      </c>
      <c r="AE4" s="21" t="n">
        <v>2695732123</v>
      </c>
      <c r="AF4" s="21" t="n">
        <v>2800647545</v>
      </c>
      <c r="AG4" s="21" t="n">
        <v>2909912603</v>
      </c>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540266667</v>
      </c>
      <c r="D5" s="23" t="n">
        <v>556474667</v>
      </c>
      <c r="E5" s="23" t="n">
        <v>573168907</v>
      </c>
      <c r="F5" s="23" t="n">
        <v>590363974</v>
      </c>
      <c r="G5" s="23" t="n">
        <v>608074893</v>
      </c>
      <c r="H5" s="23" t="n">
        <v>626317140</v>
      </c>
      <c r="I5" s="23" t="n">
        <v>645106654</v>
      </c>
      <c r="J5" s="23" t="n">
        <v>664459854</v>
      </c>
      <c r="K5" s="23" t="n">
        <v>684393649</v>
      </c>
      <c r="L5" s="23" t="n">
        <v>704925459</v>
      </c>
      <c r="M5" s="23" t="n">
        <v>726073223</v>
      </c>
      <c r="N5" s="23" t="n">
        <v>747855419</v>
      </c>
      <c r="O5" s="23" t="n">
        <v>770291082</v>
      </c>
      <c r="P5" s="23" t="n">
        <v>793399814</v>
      </c>
      <c r="Q5" s="23" t="n">
        <v>817201809</v>
      </c>
      <c r="R5" s="23" t="n">
        <v>841717863</v>
      </c>
      <c r="S5" s="23" t="n">
        <v>866969399</v>
      </c>
      <c r="T5" s="23" t="n">
        <v>892978481</v>
      </c>
      <c r="U5" s="23" t="n">
        <v>919767835</v>
      </c>
      <c r="V5" s="23" t="n">
        <v>947360870</v>
      </c>
      <c r="W5" s="23" t="n">
        <v>975781696</v>
      </c>
      <c r="X5" s="23" t="n">
        <v>1005055147</v>
      </c>
      <c r="Y5" s="23" t="n">
        <v>1035206802</v>
      </c>
      <c r="Z5" s="23" t="n">
        <v>1066263006</v>
      </c>
      <c r="AA5" s="23" t="n">
        <v>1098250896</v>
      </c>
      <c r="AB5" s="23" t="n">
        <v>1131198423</v>
      </c>
      <c r="AC5" s="23" t="n">
        <v>1165134375</v>
      </c>
      <c r="AD5" s="23" t="n">
        <v>1200088407</v>
      </c>
      <c r="AE5" s="23" t="n">
        <v>1236091059</v>
      </c>
      <c r="AF5" s="23" t="n">
        <v>1273173791</v>
      </c>
      <c r="AG5" s="23" t="n">
        <v>1311369004</v>
      </c>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212533333</v>
      </c>
      <c r="D6" s="23" t="n">
        <v>223160000</v>
      </c>
      <c r="E6" s="23" t="n">
        <v>234318000</v>
      </c>
      <c r="F6" s="23" t="n">
        <v>246033900</v>
      </c>
      <c r="G6" s="23" t="n">
        <v>258335595</v>
      </c>
      <c r="H6" s="23" t="n">
        <v>271252375</v>
      </c>
      <c r="I6" s="23" t="n">
        <v>284814993</v>
      </c>
      <c r="J6" s="23" t="n">
        <v>299055743</v>
      </c>
      <c r="K6" s="23" t="n">
        <v>314008530</v>
      </c>
      <c r="L6" s="23" t="n">
        <v>329708957</v>
      </c>
      <c r="M6" s="23" t="n">
        <v>346194405</v>
      </c>
      <c r="N6" s="23" t="n">
        <v>363504125</v>
      </c>
      <c r="O6" s="23" t="n">
        <v>381679331</v>
      </c>
      <c r="P6" s="23" t="n">
        <v>400763298</v>
      </c>
      <c r="Q6" s="23" t="n">
        <v>420801463</v>
      </c>
      <c r="R6" s="23" t="n">
        <v>441841536</v>
      </c>
      <c r="S6" s="23" t="n">
        <v>463933613</v>
      </c>
      <c r="T6" s="23" t="n">
        <v>487130293</v>
      </c>
      <c r="U6" s="23" t="n">
        <v>511486808</v>
      </c>
      <c r="V6" s="23" t="n">
        <v>537061148</v>
      </c>
      <c r="W6" s="23" t="n">
        <v>563914206</v>
      </c>
      <c r="X6" s="23" t="n">
        <v>592109916</v>
      </c>
      <c r="Y6" s="23" t="n">
        <v>621715412</v>
      </c>
      <c r="Z6" s="23" t="n">
        <v>652801182</v>
      </c>
      <c r="AA6" s="23" t="n">
        <v>685441241</v>
      </c>
      <c r="AB6" s="23" t="n">
        <v>719713303</v>
      </c>
      <c r="AC6" s="23" t="n">
        <v>755698969</v>
      </c>
      <c r="AD6" s="23" t="n">
        <v>793483917</v>
      </c>
      <c r="AE6" s="23" t="n">
        <v>833158113</v>
      </c>
      <c r="AF6" s="23" t="n">
        <v>874816019</v>
      </c>
      <c r="AG6" s="23" t="n">
        <v>918556819</v>
      </c>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94133333</v>
      </c>
      <c r="D7" s="23" t="n">
        <v>98840000</v>
      </c>
      <c r="E7" s="23" t="n">
        <v>103782000</v>
      </c>
      <c r="F7" s="23" t="n">
        <v>108971100</v>
      </c>
      <c r="G7" s="23" t="n">
        <v>114419655</v>
      </c>
      <c r="H7" s="23" t="n">
        <v>120140638</v>
      </c>
      <c r="I7" s="23" t="n">
        <v>126147670</v>
      </c>
      <c r="J7" s="23" t="n">
        <v>132455053</v>
      </c>
      <c r="K7" s="23" t="n">
        <v>139077806</v>
      </c>
      <c r="L7" s="23" t="n">
        <v>146031696</v>
      </c>
      <c r="M7" s="23" t="n">
        <v>153333281</v>
      </c>
      <c r="N7" s="23" t="n">
        <v>160999945</v>
      </c>
      <c r="O7" s="23" t="n">
        <v>169049942</v>
      </c>
      <c r="P7" s="23" t="n">
        <v>177502439</v>
      </c>
      <c r="Q7" s="23" t="n">
        <v>186377561</v>
      </c>
      <c r="R7" s="23" t="n">
        <v>195696439</v>
      </c>
      <c r="S7" s="23" t="n">
        <v>205481261</v>
      </c>
      <c r="T7" s="23" t="n">
        <v>215755324</v>
      </c>
      <c r="U7" s="23" t="n">
        <v>226543091</v>
      </c>
      <c r="V7" s="23" t="n">
        <v>237870245</v>
      </c>
      <c r="W7" s="23" t="n">
        <v>249763757</v>
      </c>
      <c r="X7" s="23" t="n">
        <v>262251945</v>
      </c>
      <c r="Y7" s="23" t="n">
        <v>275364542</v>
      </c>
      <c r="Z7" s="23" t="n">
        <v>289132770</v>
      </c>
      <c r="AA7" s="23" t="n">
        <v>303589408</v>
      </c>
      <c r="AB7" s="23" t="n">
        <v>318768878</v>
      </c>
      <c r="AC7" s="23" t="n">
        <v>334707322</v>
      </c>
      <c r="AD7" s="23" t="n">
        <v>351442688</v>
      </c>
      <c r="AE7" s="23" t="n">
        <v>369014823</v>
      </c>
      <c r="AF7" s="23" t="n">
        <v>387465564</v>
      </c>
      <c r="AG7" s="23" t="n">
        <v>406838842</v>
      </c>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v>32666667</v>
      </c>
      <c r="D8" s="23" t="n">
        <v>33646667</v>
      </c>
      <c r="E8" s="23" t="n">
        <v>34656067</v>
      </c>
      <c r="F8" s="23" t="n">
        <v>35695749</v>
      </c>
      <c r="G8" s="23" t="n">
        <v>36766621</v>
      </c>
      <c r="H8" s="23" t="n">
        <v>37869620</v>
      </c>
      <c r="I8" s="23" t="n">
        <v>39005708</v>
      </c>
      <c r="J8" s="23" t="n">
        <v>40175880</v>
      </c>
      <c r="K8" s="23" t="n">
        <v>41381156</v>
      </c>
      <c r="L8" s="23" t="n">
        <v>42622591</v>
      </c>
      <c r="M8" s="23" t="n">
        <v>43901268</v>
      </c>
      <c r="N8" s="23" t="n">
        <v>45218306</v>
      </c>
      <c r="O8" s="23" t="n">
        <v>46574856</v>
      </c>
      <c r="P8" s="23" t="n">
        <v>47972101</v>
      </c>
      <c r="Q8" s="23" t="n">
        <v>49411264</v>
      </c>
      <c r="R8" s="23" t="n">
        <v>50893602</v>
      </c>
      <c r="S8" s="23" t="n">
        <v>52420410</v>
      </c>
      <c r="T8" s="23" t="n">
        <v>53993023</v>
      </c>
      <c r="U8" s="23" t="n">
        <v>55612813</v>
      </c>
      <c r="V8" s="23" t="n">
        <v>57281198</v>
      </c>
      <c r="W8" s="23" t="n">
        <v>58999634</v>
      </c>
      <c r="X8" s="23" t="n">
        <v>60769623</v>
      </c>
      <c r="Y8" s="23" t="n">
        <v>62592711</v>
      </c>
      <c r="Z8" s="23" t="n">
        <v>64470493</v>
      </c>
      <c r="AA8" s="23" t="n">
        <v>66404607</v>
      </c>
      <c r="AB8" s="23" t="n">
        <v>68396746</v>
      </c>
      <c r="AC8" s="23" t="n">
        <v>70448648</v>
      </c>
      <c r="AD8" s="23" t="n">
        <v>72562108</v>
      </c>
      <c r="AE8" s="23" t="n">
        <v>74738971</v>
      </c>
      <c r="AF8" s="23" t="n">
        <v>76981140</v>
      </c>
      <c r="AG8" s="23" t="n">
        <v>79290574</v>
      </c>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v>36133333</v>
      </c>
      <c r="D9" s="23" t="n">
        <v>37217333</v>
      </c>
      <c r="E9" s="23" t="n">
        <v>38333853</v>
      </c>
      <c r="F9" s="23" t="n">
        <v>39483869</v>
      </c>
      <c r="G9" s="23" t="n">
        <v>40668385</v>
      </c>
      <c r="H9" s="23" t="n">
        <v>41888437</v>
      </c>
      <c r="I9" s="23" t="n">
        <v>43145090</v>
      </c>
      <c r="J9" s="23" t="n">
        <v>44439442</v>
      </c>
      <c r="K9" s="23" t="n">
        <v>45772626</v>
      </c>
      <c r="L9" s="23" t="n">
        <v>47145804</v>
      </c>
      <c r="M9" s="23" t="n">
        <v>48560179</v>
      </c>
      <c r="N9" s="23" t="n">
        <v>50016984</v>
      </c>
      <c r="O9" s="23" t="n">
        <v>51517493</v>
      </c>
      <c r="P9" s="23" t="n">
        <v>53063018</v>
      </c>
      <c r="Q9" s="23" t="n">
        <v>54654909</v>
      </c>
      <c r="R9" s="23" t="n">
        <v>56294556</v>
      </c>
      <c r="S9" s="23" t="n">
        <v>57983393</v>
      </c>
      <c r="T9" s="23" t="n">
        <v>59722894</v>
      </c>
      <c r="U9" s="23" t="n">
        <v>61514581</v>
      </c>
      <c r="V9" s="23" t="n">
        <v>63360019</v>
      </c>
      <c r="W9" s="23" t="n">
        <v>65260819</v>
      </c>
      <c r="X9" s="23" t="n">
        <v>67218644</v>
      </c>
      <c r="Y9" s="23" t="n">
        <v>69235203</v>
      </c>
      <c r="Z9" s="23" t="n">
        <v>71312259</v>
      </c>
      <c r="AA9" s="23" t="n">
        <v>73451627</v>
      </c>
      <c r="AB9" s="23" t="n">
        <v>75655176</v>
      </c>
      <c r="AC9" s="23" t="n">
        <v>77924831</v>
      </c>
      <c r="AD9" s="23" t="n">
        <v>80262576</v>
      </c>
      <c r="AE9" s="23" t="n">
        <v>82670453</v>
      </c>
      <c r="AF9" s="23" t="n">
        <v>85150567</v>
      </c>
      <c r="AG9" s="23" t="n">
        <v>87705084</v>
      </c>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v>43733333</v>
      </c>
      <c r="D10" s="23" t="n">
        <v>45045333</v>
      </c>
      <c r="E10" s="23" t="n">
        <v>46396693</v>
      </c>
      <c r="F10" s="23" t="n">
        <v>47788594</v>
      </c>
      <c r="G10" s="23" t="n">
        <v>49222252</v>
      </c>
      <c r="H10" s="23" t="n">
        <v>50698920</v>
      </c>
      <c r="I10" s="23" t="n">
        <v>52219887</v>
      </c>
      <c r="J10" s="23" t="n">
        <v>53786484</v>
      </c>
      <c r="K10" s="23" t="n">
        <v>55400078</v>
      </c>
      <c r="L10" s="23" t="n">
        <v>57062081</v>
      </c>
      <c r="M10" s="23" t="n">
        <v>58773943</v>
      </c>
      <c r="N10" s="23" t="n">
        <v>60537161</v>
      </c>
      <c r="O10" s="23" t="n">
        <v>62353276</v>
      </c>
      <c r="P10" s="23" t="n">
        <v>64223874</v>
      </c>
      <c r="Q10" s="23" t="n">
        <v>66150591</v>
      </c>
      <c r="R10" s="23" t="n">
        <v>68135108</v>
      </c>
      <c r="S10" s="23" t="n">
        <v>70179162</v>
      </c>
      <c r="T10" s="23" t="n">
        <v>72284536</v>
      </c>
      <c r="U10" s="23" t="n">
        <v>74453073</v>
      </c>
      <c r="V10" s="23" t="n">
        <v>76686665</v>
      </c>
      <c r="W10" s="23" t="n">
        <v>78987265</v>
      </c>
      <c r="X10" s="23" t="n">
        <v>81356883</v>
      </c>
      <c r="Y10" s="23" t="n">
        <v>83797589</v>
      </c>
      <c r="Z10" s="23" t="n">
        <v>86311517</v>
      </c>
      <c r="AA10" s="23" t="n">
        <v>88900862</v>
      </c>
      <c r="AB10" s="23" t="n">
        <v>91567888</v>
      </c>
      <c r="AC10" s="23" t="n">
        <v>94314925</v>
      </c>
      <c r="AD10" s="23" t="n">
        <v>97144373</v>
      </c>
      <c r="AE10" s="23" t="n">
        <v>100058704</v>
      </c>
      <c r="AF10" s="23" t="n">
        <v>103060465</v>
      </c>
      <c r="AG10" s="23" t="n">
        <v>106152279</v>
      </c>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-678933333</v>
      </c>
      <c r="D14" s="21" t="n">
        <v>-706090667</v>
      </c>
      <c r="E14" s="21" t="n">
        <v>-734334293</v>
      </c>
      <c r="F14" s="21" t="n">
        <v>-763707665</v>
      </c>
      <c r="G14" s="21" t="n">
        <v>-794255972</v>
      </c>
      <c r="H14" s="21" t="n">
        <v>-826026211</v>
      </c>
      <c r="I14" s="21" t="n">
        <v>-859067259</v>
      </c>
      <c r="J14" s="21" t="n">
        <v>-893429949</v>
      </c>
      <c r="K14" s="21" t="n">
        <v>-929167147</v>
      </c>
      <c r="L14" s="21" t="n">
        <v>-966333833</v>
      </c>
      <c r="M14" s="21" t="n">
        <v>-1004987187</v>
      </c>
      <c r="N14" s="21" t="n">
        <v>-1045186674</v>
      </c>
      <c r="O14" s="21" t="n">
        <v>-1086994141</v>
      </c>
      <c r="P14" s="21" t="n">
        <v>-1130473907</v>
      </c>
      <c r="Q14" s="21" t="n">
        <v>-1175692863</v>
      </c>
      <c r="R14" s="21" t="n">
        <v>-1222720577</v>
      </c>
      <c r="S14" s="21" t="n">
        <v>-1271629400</v>
      </c>
      <c r="T14" s="21" t="n">
        <v>-1322494576</v>
      </c>
      <c r="U14" s="21" t="n">
        <v>-1375394360</v>
      </c>
      <c r="V14" s="21" t="n">
        <v>-1430410134</v>
      </c>
      <c r="W14" s="21" t="n">
        <v>-1487626539</v>
      </c>
      <c r="X14" s="21" t="n">
        <v>-1547131601</v>
      </c>
      <c r="Y14" s="21" t="n">
        <v>-1609016865</v>
      </c>
      <c r="Z14" s="21" t="n">
        <v>-1673377539</v>
      </c>
      <c r="AA14" s="21" t="n">
        <v>-1740312641</v>
      </c>
      <c r="AB14" s="21" t="n">
        <v>-1809925147</v>
      </c>
      <c r="AC14" s="21" t="n">
        <v>-1882322153</v>
      </c>
      <c r="AD14" s="21" t="n">
        <v>-1957615039</v>
      </c>
      <c r="AE14" s="21" t="n">
        <v>-2035919640</v>
      </c>
      <c r="AF14" s="21" t="n">
        <v>-2117356426</v>
      </c>
      <c r="AG14" s="21" t="n">
        <v>-2202050683</v>
      </c>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280533333</v>
      </c>
      <c r="D29" s="21" t="n">
        <v>288293333</v>
      </c>
      <c r="E29" s="21" t="n">
        <v>296321227</v>
      </c>
      <c r="F29" s="21" t="n">
        <v>304629521</v>
      </c>
      <c r="G29" s="21" t="n">
        <v>313231429</v>
      </c>
      <c r="H29" s="21" t="n">
        <v>322140918</v>
      </c>
      <c r="I29" s="21" t="n">
        <v>331372743</v>
      </c>
      <c r="J29" s="21" t="n">
        <v>340942506</v>
      </c>
      <c r="K29" s="21" t="n">
        <v>350866698</v>
      </c>
      <c r="L29" s="21" t="n">
        <v>361162754</v>
      </c>
      <c r="M29" s="21" t="n">
        <v>371849111</v>
      </c>
      <c r="N29" s="21" t="n">
        <v>382945267</v>
      </c>
      <c r="O29" s="21" t="n">
        <v>394471839</v>
      </c>
      <c r="P29" s="21" t="n">
        <v>406450639</v>
      </c>
      <c r="Q29" s="21" t="n">
        <v>418904733</v>
      </c>
      <c r="R29" s="21" t="n">
        <v>431858527</v>
      </c>
      <c r="S29" s="21" t="n">
        <v>445337837</v>
      </c>
      <c r="T29" s="21" t="n">
        <v>459369975</v>
      </c>
      <c r="U29" s="21" t="n">
        <v>473983841</v>
      </c>
      <c r="V29" s="21" t="n">
        <v>489210011</v>
      </c>
      <c r="W29" s="21" t="n">
        <v>505080838</v>
      </c>
      <c r="X29" s="21" t="n">
        <v>521630557</v>
      </c>
      <c r="Y29" s="21" t="n">
        <v>538895395</v>
      </c>
      <c r="Z29" s="21" t="n">
        <v>556913687</v>
      </c>
      <c r="AA29" s="21" t="n">
        <v>575726001</v>
      </c>
      <c r="AB29" s="21" t="n">
        <v>595375268</v>
      </c>
      <c r="AC29" s="21" t="n">
        <v>615906918</v>
      </c>
      <c r="AD29" s="21" t="n">
        <v>637369030</v>
      </c>
      <c r="AE29" s="21" t="n">
        <v>659812482</v>
      </c>
      <c r="AF29" s="21" t="n">
        <v>683291119</v>
      </c>
      <c r="AG29" s="21" t="n">
        <v>707861920</v>
      </c>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-120000000</v>
      </c>
      <c r="D43" s="21" t="n">
        <v>-123600000</v>
      </c>
      <c r="E43" s="21" t="n">
        <v>-127308000</v>
      </c>
      <c r="F43" s="21" t="n">
        <v>-131127240</v>
      </c>
      <c r="G43" s="21" t="n">
        <v>-135061057</v>
      </c>
      <c r="H43" s="21" t="n">
        <v>-139112889</v>
      </c>
      <c r="I43" s="21" t="n">
        <v>-143286276</v>
      </c>
      <c r="J43" s="21" t="n">
        <v>-147584864</v>
      </c>
      <c r="K43" s="21" t="n">
        <v>-152012410</v>
      </c>
      <c r="L43" s="21" t="n">
        <v>-156572782</v>
      </c>
      <c r="M43" s="21" t="n">
        <v>-161269966</v>
      </c>
      <c r="N43" s="21" t="n">
        <v>-166108064</v>
      </c>
      <c r="O43" s="21" t="n">
        <v>-171091306</v>
      </c>
      <c r="P43" s="21" t="n">
        <v>-176224046</v>
      </c>
      <c r="Q43" s="21" t="n">
        <v>-181510767</v>
      </c>
      <c r="R43" s="21" t="n">
        <v>-186956090</v>
      </c>
      <c r="S43" s="21" t="n">
        <v>-192564773</v>
      </c>
      <c r="T43" s="21" t="n">
        <v>-198341716</v>
      </c>
      <c r="U43" s="21" t="n">
        <v>-204291967</v>
      </c>
      <c r="V43" s="21" t="n">
        <v>-210420726</v>
      </c>
      <c r="W43" s="21" t="n">
        <v>-216733348</v>
      </c>
      <c r="X43" s="21" t="n">
        <v>-223235349</v>
      </c>
      <c r="Y43" s="21" t="n">
        <v>-229932409</v>
      </c>
      <c r="Z43" s="21" t="n">
        <v>-236830381</v>
      </c>
      <c r="AA43" s="21" t="n">
        <v>-243935293</v>
      </c>
      <c r="AB43" s="21" t="n">
        <v>-251253352</v>
      </c>
      <c r="AC43" s="21" t="n">
        <v>-258790952</v>
      </c>
      <c r="AD43" s="21" t="n">
        <v>-266554681</v>
      </c>
      <c r="AE43" s="21" t="n">
        <v>-274551321</v>
      </c>
      <c r="AF43" s="21" t="n">
        <v>-282787861</v>
      </c>
      <c r="AG43" s="21" t="n">
        <v>-291271497</v>
      </c>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160533333</v>
      </c>
      <c r="D63" s="21" t="n">
        <v>164693333</v>
      </c>
      <c r="E63" s="21" t="n">
        <v>169013227</v>
      </c>
      <c r="F63" s="21" t="n">
        <v>173502281</v>
      </c>
      <c r="G63" s="21" t="n">
        <v>178170372</v>
      </c>
      <c r="H63" s="21" t="n">
        <v>183028029</v>
      </c>
      <c r="I63" s="21" t="n">
        <v>188086468</v>
      </c>
      <c r="J63" s="21" t="n">
        <v>193357642</v>
      </c>
      <c r="K63" s="21" t="n">
        <v>198854288</v>
      </c>
      <c r="L63" s="21" t="n">
        <v>204589972</v>
      </c>
      <c r="M63" s="21" t="n">
        <v>210579146</v>
      </c>
      <c r="N63" s="21" t="n">
        <v>216837202</v>
      </c>
      <c r="O63" s="21" t="n">
        <v>223380533</v>
      </c>
      <c r="P63" s="21" t="n">
        <v>230226593</v>
      </c>
      <c r="Q63" s="21" t="n">
        <v>237393966</v>
      </c>
      <c r="R63" s="21" t="n">
        <v>244902437</v>
      </c>
      <c r="S63" s="21" t="n">
        <v>252773064</v>
      </c>
      <c r="T63" s="21" t="n">
        <v>261028259</v>
      </c>
      <c r="U63" s="21" t="n">
        <v>269691874</v>
      </c>
      <c r="V63" s="21" t="n">
        <v>278789284</v>
      </c>
      <c r="W63" s="21" t="n">
        <v>288347489</v>
      </c>
      <c r="X63" s="21" t="n">
        <v>298395208</v>
      </c>
      <c r="Y63" s="21" t="n">
        <v>308962986</v>
      </c>
      <c r="Z63" s="21" t="n">
        <v>320083306</v>
      </c>
      <c r="AA63" s="21" t="n">
        <v>331790708</v>
      </c>
      <c r="AB63" s="21" t="n">
        <v>344121916</v>
      </c>
      <c r="AC63" s="21" t="n">
        <v>357115966</v>
      </c>
      <c r="AD63" s="21" t="n">
        <v>370814349</v>
      </c>
      <c r="AE63" s="21" t="n">
        <v>385261161</v>
      </c>
      <c r="AF63" s="21" t="n">
        <v>400503258</v>
      </c>
      <c r="AG63" s="21" t="n">
        <v>416590424</v>
      </c>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-116666667</v>
      </c>
      <c r="D65" s="23" t="n">
        <v>-116666667</v>
      </c>
      <c r="E65" s="23" t="n">
        <v>-116666667</v>
      </c>
      <c r="F65" s="23" t="n">
        <v>-116666667</v>
      </c>
      <c r="G65" s="23" t="n">
        <v>-116666667</v>
      </c>
      <c r="H65" s="23" t="n">
        <v>-116666667</v>
      </c>
      <c r="I65" s="23" t="n">
        <v>-116666667</v>
      </c>
      <c r="J65" s="23" t="n">
        <v>-116666667</v>
      </c>
      <c r="K65" s="23" t="n">
        <v>-116666667</v>
      </c>
      <c r="L65" s="23" t="n">
        <v>-116666667</v>
      </c>
      <c r="M65" s="23" t="n">
        <v>-116666667</v>
      </c>
      <c r="N65" s="23" t="n">
        <v>-116666667</v>
      </c>
      <c r="O65" s="23" t="n">
        <v>-116666667</v>
      </c>
      <c r="P65" s="23" t="n">
        <v>-116666667</v>
      </c>
      <c r="Q65" s="23" t="n">
        <v>-116666667</v>
      </c>
      <c r="R65" s="23" t="n">
        <v>-116666667</v>
      </c>
      <c r="S65" s="23" t="n">
        <v>-116666667</v>
      </c>
      <c r="T65" s="23" t="n">
        <v>-116666667</v>
      </c>
      <c r="U65" s="23" t="n">
        <v>-116666667</v>
      </c>
      <c r="V65" s="23" t="n">
        <v>-116666667</v>
      </c>
      <c r="W65" s="23" t="n">
        <v>-116666667</v>
      </c>
      <c r="X65" s="23" t="n">
        <v>-116666667</v>
      </c>
      <c r="Y65" s="23" t="n">
        <v>-116666667</v>
      </c>
      <c r="Z65" s="23" t="n">
        <v>-116666667</v>
      </c>
      <c r="AA65" s="23" t="n">
        <v>-116666667</v>
      </c>
      <c r="AB65" s="23" t="n">
        <v>-116666667</v>
      </c>
      <c r="AC65" s="23" t="n">
        <v>-116666667</v>
      </c>
      <c r="AD65" s="23" t="n">
        <v>-116666667</v>
      </c>
      <c r="AE65" s="23" t="n">
        <v>-116666667</v>
      </c>
      <c r="AF65" s="23" t="n">
        <v>-116666667</v>
      </c>
      <c r="AG65" s="23" t="n">
        <v>-116666667</v>
      </c>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116666667</v>
      </c>
      <c r="D67" s="21" t="n">
        <v>116666667</v>
      </c>
      <c r="E67" s="21" t="n">
        <v>116666667</v>
      </c>
      <c r="F67" s="21" t="n">
        <v>116666667</v>
      </c>
      <c r="G67" s="21" t="n">
        <v>116666667</v>
      </c>
      <c r="H67" s="21" t="n">
        <v>116666667</v>
      </c>
      <c r="I67" s="21" t="n">
        <v>116666667</v>
      </c>
      <c r="J67" s="21" t="n">
        <v>116666667</v>
      </c>
      <c r="K67" s="21" t="n">
        <v>116666667</v>
      </c>
      <c r="L67" s="21" t="n">
        <v>116666667</v>
      </c>
      <c r="M67" s="21" t="n">
        <v>116666667</v>
      </c>
      <c r="N67" s="21" t="n">
        <v>116666667</v>
      </c>
      <c r="O67" s="21" t="n">
        <v>116666667</v>
      </c>
      <c r="P67" s="21" t="n">
        <v>116666667</v>
      </c>
      <c r="Q67" s="21" t="n">
        <v>116666667</v>
      </c>
      <c r="R67" s="21" t="n">
        <v>116666667</v>
      </c>
      <c r="S67" s="21" t="n">
        <v>116666667</v>
      </c>
      <c r="T67" s="21" t="n">
        <v>116666667</v>
      </c>
      <c r="U67" s="21" t="n">
        <v>116666667</v>
      </c>
      <c r="V67" s="21" t="n">
        <v>116666667</v>
      </c>
      <c r="W67" s="21" t="n">
        <v>116666667</v>
      </c>
      <c r="X67" s="21" t="n">
        <v>116666667</v>
      </c>
      <c r="Y67" s="21" t="n">
        <v>116666667</v>
      </c>
      <c r="Z67" s="21" t="n">
        <v>116666667</v>
      </c>
      <c r="AA67" s="21" t="n">
        <v>116666667</v>
      </c>
      <c r="AB67" s="21" t="n">
        <v>116666667</v>
      </c>
      <c r="AC67" s="21" t="n">
        <v>116666667</v>
      </c>
      <c r="AD67" s="21" t="n">
        <v>116666667</v>
      </c>
      <c r="AE67" s="21" t="n">
        <v>116666667</v>
      </c>
      <c r="AF67" s="21" t="n">
        <v>116666667</v>
      </c>
      <c r="AG67" s="21" t="n">
        <v>116666667</v>
      </c>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1.38</v>
      </c>
      <c r="D91" s="21" t="n">
        <v>1.41</v>
      </c>
      <c r="E91" s="21" t="n">
        <v>1.45</v>
      </c>
      <c r="F91" s="21" t="n">
        <v>1.49</v>
      </c>
      <c r="G91" s="21" t="n">
        <v>1.53</v>
      </c>
      <c r="H91" s="21" t="n">
        <v>1.57</v>
      </c>
      <c r="I91" s="21" t="n">
        <v>1.61</v>
      </c>
      <c r="J91" s="21" t="n">
        <v>1.66</v>
      </c>
      <c r="K91" s="21" t="n">
        <v>1.7</v>
      </c>
      <c r="L91" s="21" t="n">
        <v>1.75</v>
      </c>
      <c r="M91" s="21" t="n">
        <v>1.8</v>
      </c>
      <c r="N91" s="21" t="n">
        <v>1.86</v>
      </c>
      <c r="O91" s="21" t="n">
        <v>1.91</v>
      </c>
      <c r="P91" s="21" t="n">
        <v>1.97</v>
      </c>
      <c r="Q91" s="21" t="n">
        <v>2.03</v>
      </c>
      <c r="R91" s="21" t="n">
        <v>2.1</v>
      </c>
      <c r="S91" s="21" t="n">
        <v>2.17</v>
      </c>
      <c r="T91" s="21" t="n">
        <v>2.24</v>
      </c>
      <c r="U91" s="21" t="n">
        <v>2.31</v>
      </c>
      <c r="V91" s="21" t="n">
        <v>2.39</v>
      </c>
      <c r="W91" s="21" t="n">
        <v>2.47</v>
      </c>
      <c r="X91" s="21" t="n">
        <v>2.56</v>
      </c>
      <c r="Y91" s="21" t="n">
        <v>2.65</v>
      </c>
      <c r="Z91" s="21" t="n">
        <v>2.74</v>
      </c>
      <c r="AA91" s="21" t="n">
        <v>2.84</v>
      </c>
      <c r="AB91" s="21" t="n">
        <v>2.95</v>
      </c>
      <c r="AC91" s="21" t="n">
        <v>3.06</v>
      </c>
      <c r="AD91" s="21" t="n">
        <v>3.18</v>
      </c>
      <c r="AE91" s="21" t="n">
        <v>3.3</v>
      </c>
      <c r="AF91" s="21" t="n">
        <v>3.43</v>
      </c>
      <c r="AG91" s="21" t="n">
        <v>3.57</v>
      </c>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10.69</v>
      </c>
      <c r="D93" s="21" t="n">
        <v>10.41</v>
      </c>
      <c r="E93" s="21" t="n">
        <v>10.12</v>
      </c>
      <c r="F93" s="21" t="n">
        <v>9.85</v>
      </c>
      <c r="G93" s="21" t="n">
        <v>9.58</v>
      </c>
      <c r="H93" s="21" t="n">
        <v>9.31</v>
      </c>
      <c r="I93" s="21" t="n">
        <v>9.050000000000001</v>
      </c>
      <c r="J93" s="21" t="n">
        <v>8.800000000000001</v>
      </c>
      <c r="K93" s="21" t="n">
        <v>8.550000000000001</v>
      </c>
      <c r="L93" s="21" t="n">
        <v>8.31</v>
      </c>
      <c r="M93" s="21" t="n">
        <v>8.07</v>
      </c>
      <c r="N93" s="21" t="n">
        <v>7.83</v>
      </c>
      <c r="O93" s="21" t="n">
        <v>7.61</v>
      </c>
      <c r="P93" s="21" t="n">
        <v>7.38</v>
      </c>
      <c r="Q93" s="21" t="n">
        <v>7.16</v>
      </c>
      <c r="R93" s="21" t="n">
        <v>6.95</v>
      </c>
      <c r="S93" s="21" t="n">
        <v>6.74</v>
      </c>
      <c r="T93" s="21" t="n">
        <v>6.53</v>
      </c>
      <c r="U93" s="21" t="n">
        <v>6.33</v>
      </c>
      <c r="V93" s="21" t="n">
        <v>6.13</v>
      </c>
      <c r="W93" s="21" t="n">
        <v>5.94</v>
      </c>
      <c r="X93" s="21" t="n">
        <v>5.75</v>
      </c>
      <c r="Y93" s="21" t="n">
        <v>5.57</v>
      </c>
      <c r="Z93" s="21" t="n">
        <v>5.39</v>
      </c>
      <c r="AA93" s="21" t="n">
        <v>5.21</v>
      </c>
      <c r="AB93" s="21" t="n">
        <v>5.04</v>
      </c>
      <c r="AC93" s="21" t="n">
        <v>4.87</v>
      </c>
      <c r="AD93" s="21" t="n">
        <v>4.71</v>
      </c>
      <c r="AE93" s="21" t="n">
        <v>4.55</v>
      </c>
      <c r="AF93" s="21" t="n">
        <v>4.39</v>
      </c>
      <c r="AG93" s="21" t="n">
        <v>4.24</v>
      </c>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v>44</v>
      </c>
      <c r="J96" s="23" t="n">
        <v>46</v>
      </c>
      <c r="K96" s="23" t="n">
        <v>48</v>
      </c>
      <c r="L96" s="23" t="n">
        <v>49</v>
      </c>
      <c r="M96" s="23" t="n">
        <v>49.5</v>
      </c>
      <c r="N96" s="23" t="n">
        <v>50</v>
      </c>
      <c r="O96" s="23" t="n">
        <v>50</v>
      </c>
      <c r="P96" s="23" t="n">
        <v>50</v>
      </c>
      <c r="Q96" s="23" t="n">
        <v>50</v>
      </c>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v>5.5</v>
      </c>
      <c r="J97" s="23" t="n">
        <v>5.7</v>
      </c>
      <c r="K97" s="23" t="n">
        <v>5.9</v>
      </c>
      <c r="L97" s="23" t="n">
        <v>6.1</v>
      </c>
      <c r="M97" s="23" t="n">
        <v>6.3</v>
      </c>
      <c r="N97" s="23" t="n">
        <v>6.4</v>
      </c>
      <c r="O97" s="23" t="n">
        <v>6.5</v>
      </c>
      <c r="P97" s="23" t="n">
        <v>6.6</v>
      </c>
      <c r="Q97" s="23" t="n">
        <v>6.7</v>
      </c>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v>52</v>
      </c>
      <c r="J98" s="23" t="n">
        <v>53</v>
      </c>
      <c r="K98" s="23" t="n">
        <v>54</v>
      </c>
      <c r="L98" s="23" t="n">
        <v>55</v>
      </c>
      <c r="M98" s="23" t="n">
        <v>55</v>
      </c>
      <c r="N98" s="23" t="n">
        <v>55</v>
      </c>
      <c r="O98" s="23" t="n">
        <v>55</v>
      </c>
      <c r="P98" s="23" t="n">
        <v>55</v>
      </c>
      <c r="Q98" s="23" t="n">
        <v>55</v>
      </c>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v>4</v>
      </c>
      <c r="J99" s="23" t="n">
        <v>4.2</v>
      </c>
      <c r="K99" s="23" t="n">
        <v>4.4</v>
      </c>
      <c r="L99" s="23" t="n">
        <v>4.6</v>
      </c>
      <c r="M99" s="23" t="n">
        <v>4.8</v>
      </c>
      <c r="N99" s="23" t="n">
        <v>5</v>
      </c>
      <c r="O99" s="23" t="n">
        <v>5.2</v>
      </c>
      <c r="P99" s="23" t="n">
        <v>5.4</v>
      </c>
      <c r="Q99" s="23" t="n">
        <v>5.6</v>
      </c>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v>0.48</v>
      </c>
      <c r="J100" s="23" t="n">
        <v>0.46</v>
      </c>
      <c r="K100" s="23" t="n">
        <v>0.44</v>
      </c>
      <c r="L100" s="23" t="n">
        <v>0.42</v>
      </c>
      <c r="M100" s="23" t="n">
        <v>0.4</v>
      </c>
      <c r="N100" s="23" t="n">
        <v>0.38</v>
      </c>
      <c r="O100" s="23" t="n">
        <v>0.36</v>
      </c>
      <c r="P100" s="23" t="n">
        <v>0.34</v>
      </c>
      <c r="Q100" s="23" t="n">
        <v>0.32</v>
      </c>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959466667</v>
      </c>
      <c r="D4" s="21" t="n">
        <v>994384000</v>
      </c>
      <c r="E4" s="21" t="n">
        <v>1030655520</v>
      </c>
      <c r="F4" s="21" t="n">
        <v>1068337186</v>
      </c>
      <c r="G4" s="21" t="n">
        <v>1107487401</v>
      </c>
      <c r="H4" s="21" t="n">
        <v>1148167128</v>
      </c>
      <c r="I4" s="21" t="n">
        <v>1190440002</v>
      </c>
      <c r="J4" s="21" t="n">
        <v>1234372456</v>
      </c>
      <c r="K4" s="21" t="n">
        <v>1280033845</v>
      </c>
      <c r="L4" s="21" t="n">
        <v>1327496587</v>
      </c>
      <c r="M4" s="21" t="n">
        <v>1376836298</v>
      </c>
      <c r="N4" s="21" t="n">
        <v>1428131941</v>
      </c>
      <c r="O4" s="21" t="n">
        <v>1481465980</v>
      </c>
      <c r="P4" s="21" t="n">
        <v>1536924545</v>
      </c>
      <c r="Q4" s="21" t="n">
        <v>1594597596</v>
      </c>
      <c r="R4" s="21" t="n">
        <v>1654579105</v>
      </c>
      <c r="S4" s="21" t="n">
        <v>1716967237</v>
      </c>
      <c r="T4" s="21" t="n">
        <v>1781864552</v>
      </c>
      <c r="U4" s="21" t="n">
        <v>1849378201</v>
      </c>
      <c r="V4" s="21" t="n">
        <v>1919620145</v>
      </c>
      <c r="W4" s="21" t="n">
        <v>1992707377</v>
      </c>
      <c r="X4" s="21" t="n">
        <v>2068762157</v>
      </c>
      <c r="Y4" s="21" t="n">
        <v>2147912259</v>
      </c>
      <c r="Z4" s="21" t="n">
        <v>2230291226</v>
      </c>
      <c r="AA4" s="21" t="n">
        <v>2316038642</v>
      </c>
      <c r="AB4" s="21" t="n">
        <v>2405300414</v>
      </c>
      <c r="AC4" s="21" t="n">
        <v>2498229070</v>
      </c>
      <c r="AD4" s="21" t="n">
        <v>2594984068</v>
      </c>
      <c r="AE4" s="21" t="n">
        <v>2695732123</v>
      </c>
      <c r="AF4" s="21" t="n">
        <v>2800647545</v>
      </c>
      <c r="AG4" s="21" t="n">
        <v>2909912603</v>
      </c>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540266667</v>
      </c>
      <c r="D5" s="23" t="n">
        <v>556474667</v>
      </c>
      <c r="E5" s="23" t="n">
        <v>573168907</v>
      </c>
      <c r="F5" s="23" t="n">
        <v>590363974</v>
      </c>
      <c r="G5" s="23" t="n">
        <v>608074893</v>
      </c>
      <c r="H5" s="23" t="n">
        <v>626317140</v>
      </c>
      <c r="I5" s="23" t="n">
        <v>645106654</v>
      </c>
      <c r="J5" s="23" t="n">
        <v>664459854</v>
      </c>
      <c r="K5" s="23" t="n">
        <v>684393649</v>
      </c>
      <c r="L5" s="23" t="n">
        <v>704925459</v>
      </c>
      <c r="M5" s="23" t="n">
        <v>726073223</v>
      </c>
      <c r="N5" s="23" t="n">
        <v>747855419</v>
      </c>
      <c r="O5" s="23" t="n">
        <v>770291082</v>
      </c>
      <c r="P5" s="23" t="n">
        <v>793399814</v>
      </c>
      <c r="Q5" s="23" t="n">
        <v>817201809</v>
      </c>
      <c r="R5" s="23" t="n">
        <v>841717863</v>
      </c>
      <c r="S5" s="23" t="n">
        <v>866969399</v>
      </c>
      <c r="T5" s="23" t="n">
        <v>892978481</v>
      </c>
      <c r="U5" s="23" t="n">
        <v>919767835</v>
      </c>
      <c r="V5" s="23" t="n">
        <v>947360870</v>
      </c>
      <c r="W5" s="23" t="n">
        <v>975781696</v>
      </c>
      <c r="X5" s="23" t="n">
        <v>1005055147</v>
      </c>
      <c r="Y5" s="23" t="n">
        <v>1035206802</v>
      </c>
      <c r="Z5" s="23" t="n">
        <v>1066263006</v>
      </c>
      <c r="AA5" s="23" t="n">
        <v>1098250896</v>
      </c>
      <c r="AB5" s="23" t="n">
        <v>1131198423</v>
      </c>
      <c r="AC5" s="23" t="n">
        <v>1165134375</v>
      </c>
      <c r="AD5" s="23" t="n">
        <v>1200088407</v>
      </c>
      <c r="AE5" s="23" t="n">
        <v>1236091059</v>
      </c>
      <c r="AF5" s="23" t="n">
        <v>1273173791</v>
      </c>
      <c r="AG5" s="23" t="n">
        <v>1311369004</v>
      </c>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212533333</v>
      </c>
      <c r="D6" s="23" t="n">
        <v>223160000</v>
      </c>
      <c r="E6" s="23" t="n">
        <v>234318000</v>
      </c>
      <c r="F6" s="23" t="n">
        <v>246033900</v>
      </c>
      <c r="G6" s="23" t="n">
        <v>258335595</v>
      </c>
      <c r="H6" s="23" t="n">
        <v>271252375</v>
      </c>
      <c r="I6" s="23" t="n">
        <v>284814993</v>
      </c>
      <c r="J6" s="23" t="n">
        <v>299055743</v>
      </c>
      <c r="K6" s="23" t="n">
        <v>314008530</v>
      </c>
      <c r="L6" s="23" t="n">
        <v>329708957</v>
      </c>
      <c r="M6" s="23" t="n">
        <v>346194405</v>
      </c>
      <c r="N6" s="23" t="n">
        <v>363504125</v>
      </c>
      <c r="O6" s="23" t="n">
        <v>381679331</v>
      </c>
      <c r="P6" s="23" t="n">
        <v>400763298</v>
      </c>
      <c r="Q6" s="23" t="n">
        <v>420801463</v>
      </c>
      <c r="R6" s="23" t="n">
        <v>441841536</v>
      </c>
      <c r="S6" s="23" t="n">
        <v>463933613</v>
      </c>
      <c r="T6" s="23" t="n">
        <v>487130293</v>
      </c>
      <c r="U6" s="23" t="n">
        <v>511486808</v>
      </c>
      <c r="V6" s="23" t="n">
        <v>537061148</v>
      </c>
      <c r="W6" s="23" t="n">
        <v>563914206</v>
      </c>
      <c r="X6" s="23" t="n">
        <v>592109916</v>
      </c>
      <c r="Y6" s="23" t="n">
        <v>621715412</v>
      </c>
      <c r="Z6" s="23" t="n">
        <v>652801182</v>
      </c>
      <c r="AA6" s="23" t="n">
        <v>685441241</v>
      </c>
      <c r="AB6" s="23" t="n">
        <v>719713303</v>
      </c>
      <c r="AC6" s="23" t="n">
        <v>755698969</v>
      </c>
      <c r="AD6" s="23" t="n">
        <v>793483917</v>
      </c>
      <c r="AE6" s="23" t="n">
        <v>833158113</v>
      </c>
      <c r="AF6" s="23" t="n">
        <v>874816019</v>
      </c>
      <c r="AG6" s="23" t="n">
        <v>918556819</v>
      </c>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94133333</v>
      </c>
      <c r="D7" s="23" t="n">
        <v>98840000</v>
      </c>
      <c r="E7" s="23" t="n">
        <v>103782000</v>
      </c>
      <c r="F7" s="23" t="n">
        <v>108971100</v>
      </c>
      <c r="G7" s="23" t="n">
        <v>114419655</v>
      </c>
      <c r="H7" s="23" t="n">
        <v>120140638</v>
      </c>
      <c r="I7" s="23" t="n">
        <v>126147670</v>
      </c>
      <c r="J7" s="23" t="n">
        <v>132455053</v>
      </c>
      <c r="K7" s="23" t="n">
        <v>139077806</v>
      </c>
      <c r="L7" s="23" t="n">
        <v>146031696</v>
      </c>
      <c r="M7" s="23" t="n">
        <v>153333281</v>
      </c>
      <c r="N7" s="23" t="n">
        <v>160999945</v>
      </c>
      <c r="O7" s="23" t="n">
        <v>169049942</v>
      </c>
      <c r="P7" s="23" t="n">
        <v>177502439</v>
      </c>
      <c r="Q7" s="23" t="n">
        <v>186377561</v>
      </c>
      <c r="R7" s="23" t="n">
        <v>195696439</v>
      </c>
      <c r="S7" s="23" t="n">
        <v>205481261</v>
      </c>
      <c r="T7" s="23" t="n">
        <v>215755324</v>
      </c>
      <c r="U7" s="23" t="n">
        <v>226543091</v>
      </c>
      <c r="V7" s="23" t="n">
        <v>237870245</v>
      </c>
      <c r="W7" s="23" t="n">
        <v>249763757</v>
      </c>
      <c r="X7" s="23" t="n">
        <v>262251945</v>
      </c>
      <c r="Y7" s="23" t="n">
        <v>275364542</v>
      </c>
      <c r="Z7" s="23" t="n">
        <v>289132770</v>
      </c>
      <c r="AA7" s="23" t="n">
        <v>303589408</v>
      </c>
      <c r="AB7" s="23" t="n">
        <v>318768878</v>
      </c>
      <c r="AC7" s="23" t="n">
        <v>334707322</v>
      </c>
      <c r="AD7" s="23" t="n">
        <v>351442688</v>
      </c>
      <c r="AE7" s="23" t="n">
        <v>369014823</v>
      </c>
      <c r="AF7" s="23" t="n">
        <v>387465564</v>
      </c>
      <c r="AG7" s="23" t="n">
        <v>406838842</v>
      </c>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v>32666667</v>
      </c>
      <c r="D8" s="23" t="n">
        <v>33646667</v>
      </c>
      <c r="E8" s="23" t="n">
        <v>34656067</v>
      </c>
      <c r="F8" s="23" t="n">
        <v>35695749</v>
      </c>
      <c r="G8" s="23" t="n">
        <v>36766621</v>
      </c>
      <c r="H8" s="23" t="n">
        <v>37869620</v>
      </c>
      <c r="I8" s="23" t="n">
        <v>39005708</v>
      </c>
      <c r="J8" s="23" t="n">
        <v>40175880</v>
      </c>
      <c r="K8" s="23" t="n">
        <v>41381156</v>
      </c>
      <c r="L8" s="23" t="n">
        <v>42622591</v>
      </c>
      <c r="M8" s="23" t="n">
        <v>43901268</v>
      </c>
      <c r="N8" s="23" t="n">
        <v>45218306</v>
      </c>
      <c r="O8" s="23" t="n">
        <v>46574856</v>
      </c>
      <c r="P8" s="23" t="n">
        <v>47972101</v>
      </c>
      <c r="Q8" s="23" t="n">
        <v>49411264</v>
      </c>
      <c r="R8" s="23" t="n">
        <v>50893602</v>
      </c>
      <c r="S8" s="23" t="n">
        <v>52420410</v>
      </c>
      <c r="T8" s="23" t="n">
        <v>53993023</v>
      </c>
      <c r="U8" s="23" t="n">
        <v>55612813</v>
      </c>
      <c r="V8" s="23" t="n">
        <v>57281198</v>
      </c>
      <c r="W8" s="23" t="n">
        <v>58999634</v>
      </c>
      <c r="X8" s="23" t="n">
        <v>60769623</v>
      </c>
      <c r="Y8" s="23" t="n">
        <v>62592711</v>
      </c>
      <c r="Z8" s="23" t="n">
        <v>64470493</v>
      </c>
      <c r="AA8" s="23" t="n">
        <v>66404607</v>
      </c>
      <c r="AB8" s="23" t="n">
        <v>68396746</v>
      </c>
      <c r="AC8" s="23" t="n">
        <v>70448648</v>
      </c>
      <c r="AD8" s="23" t="n">
        <v>72562108</v>
      </c>
      <c r="AE8" s="23" t="n">
        <v>74738971</v>
      </c>
      <c r="AF8" s="23" t="n">
        <v>76981140</v>
      </c>
      <c r="AG8" s="23" t="n">
        <v>79290574</v>
      </c>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v>36133333</v>
      </c>
      <c r="D9" s="23" t="n">
        <v>37217333</v>
      </c>
      <c r="E9" s="23" t="n">
        <v>38333853</v>
      </c>
      <c r="F9" s="23" t="n">
        <v>39483869</v>
      </c>
      <c r="G9" s="23" t="n">
        <v>40668385</v>
      </c>
      <c r="H9" s="23" t="n">
        <v>41888437</v>
      </c>
      <c r="I9" s="23" t="n">
        <v>43145090</v>
      </c>
      <c r="J9" s="23" t="n">
        <v>44439442</v>
      </c>
      <c r="K9" s="23" t="n">
        <v>45772626</v>
      </c>
      <c r="L9" s="23" t="n">
        <v>47145804</v>
      </c>
      <c r="M9" s="23" t="n">
        <v>48560179</v>
      </c>
      <c r="N9" s="23" t="n">
        <v>50016984</v>
      </c>
      <c r="O9" s="23" t="n">
        <v>51517493</v>
      </c>
      <c r="P9" s="23" t="n">
        <v>53063018</v>
      </c>
      <c r="Q9" s="23" t="n">
        <v>54654909</v>
      </c>
      <c r="R9" s="23" t="n">
        <v>56294556</v>
      </c>
      <c r="S9" s="23" t="n">
        <v>57983393</v>
      </c>
      <c r="T9" s="23" t="n">
        <v>59722894</v>
      </c>
      <c r="U9" s="23" t="n">
        <v>61514581</v>
      </c>
      <c r="V9" s="23" t="n">
        <v>63360019</v>
      </c>
      <c r="W9" s="23" t="n">
        <v>65260819</v>
      </c>
      <c r="X9" s="23" t="n">
        <v>67218644</v>
      </c>
      <c r="Y9" s="23" t="n">
        <v>69235203</v>
      </c>
      <c r="Z9" s="23" t="n">
        <v>71312259</v>
      </c>
      <c r="AA9" s="23" t="n">
        <v>73451627</v>
      </c>
      <c r="AB9" s="23" t="n">
        <v>75655176</v>
      </c>
      <c r="AC9" s="23" t="n">
        <v>77924831</v>
      </c>
      <c r="AD9" s="23" t="n">
        <v>80262576</v>
      </c>
      <c r="AE9" s="23" t="n">
        <v>82670453</v>
      </c>
      <c r="AF9" s="23" t="n">
        <v>85150567</v>
      </c>
      <c r="AG9" s="23" t="n">
        <v>87705084</v>
      </c>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v>43733333</v>
      </c>
      <c r="D10" s="23" t="n">
        <v>45045333</v>
      </c>
      <c r="E10" s="23" t="n">
        <v>46396693</v>
      </c>
      <c r="F10" s="23" t="n">
        <v>47788594</v>
      </c>
      <c r="G10" s="23" t="n">
        <v>49222252</v>
      </c>
      <c r="H10" s="23" t="n">
        <v>50698920</v>
      </c>
      <c r="I10" s="23" t="n">
        <v>52219887</v>
      </c>
      <c r="J10" s="23" t="n">
        <v>53786484</v>
      </c>
      <c r="K10" s="23" t="n">
        <v>55400078</v>
      </c>
      <c r="L10" s="23" t="n">
        <v>57062081</v>
      </c>
      <c r="M10" s="23" t="n">
        <v>58773943</v>
      </c>
      <c r="N10" s="23" t="n">
        <v>60537161</v>
      </c>
      <c r="O10" s="23" t="n">
        <v>62353276</v>
      </c>
      <c r="P10" s="23" t="n">
        <v>64223874</v>
      </c>
      <c r="Q10" s="23" t="n">
        <v>66150591</v>
      </c>
      <c r="R10" s="23" t="n">
        <v>68135108</v>
      </c>
      <c r="S10" s="23" t="n">
        <v>70179162</v>
      </c>
      <c r="T10" s="23" t="n">
        <v>72284536</v>
      </c>
      <c r="U10" s="23" t="n">
        <v>74453073</v>
      </c>
      <c r="V10" s="23" t="n">
        <v>76686665</v>
      </c>
      <c r="W10" s="23" t="n">
        <v>78987265</v>
      </c>
      <c r="X10" s="23" t="n">
        <v>81356883</v>
      </c>
      <c r="Y10" s="23" t="n">
        <v>83797589</v>
      </c>
      <c r="Z10" s="23" t="n">
        <v>86311517</v>
      </c>
      <c r="AA10" s="23" t="n">
        <v>88900862</v>
      </c>
      <c r="AB10" s="23" t="n">
        <v>91567888</v>
      </c>
      <c r="AC10" s="23" t="n">
        <v>94314925</v>
      </c>
      <c r="AD10" s="23" t="n">
        <v>97144373</v>
      </c>
      <c r="AE10" s="23" t="n">
        <v>100058704</v>
      </c>
      <c r="AF10" s="23" t="n">
        <v>103060465</v>
      </c>
      <c r="AG10" s="23" t="n">
        <v>106152279</v>
      </c>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-678933333</v>
      </c>
      <c r="D14" s="21" t="n">
        <v>-706090667</v>
      </c>
      <c r="E14" s="21" t="n">
        <v>-734334293</v>
      </c>
      <c r="F14" s="21" t="n">
        <v>-763707665</v>
      </c>
      <c r="G14" s="21" t="n">
        <v>-794255972</v>
      </c>
      <c r="H14" s="21" t="n">
        <v>-826026211</v>
      </c>
      <c r="I14" s="21" t="n">
        <v>-859067259</v>
      </c>
      <c r="J14" s="21" t="n">
        <v>-893429949</v>
      </c>
      <c r="K14" s="21" t="n">
        <v>-929167147</v>
      </c>
      <c r="L14" s="21" t="n">
        <v>-966333833</v>
      </c>
      <c r="M14" s="21" t="n">
        <v>-1004987187</v>
      </c>
      <c r="N14" s="21" t="n">
        <v>-1045186674</v>
      </c>
      <c r="O14" s="21" t="n">
        <v>-1086994141</v>
      </c>
      <c r="P14" s="21" t="n">
        <v>-1130473907</v>
      </c>
      <c r="Q14" s="21" t="n">
        <v>-1175692863</v>
      </c>
      <c r="R14" s="21" t="n">
        <v>-1222720577</v>
      </c>
      <c r="S14" s="21" t="n">
        <v>-1271629400</v>
      </c>
      <c r="T14" s="21" t="n">
        <v>-1322494576</v>
      </c>
      <c r="U14" s="21" t="n">
        <v>-1375394360</v>
      </c>
      <c r="V14" s="21" t="n">
        <v>-1430410134</v>
      </c>
      <c r="W14" s="21" t="n">
        <v>-1487626539</v>
      </c>
      <c r="X14" s="21" t="n">
        <v>-1547131601</v>
      </c>
      <c r="Y14" s="21" t="n">
        <v>-1609016865</v>
      </c>
      <c r="Z14" s="21" t="n">
        <v>-1673377539</v>
      </c>
      <c r="AA14" s="21" t="n">
        <v>-1740312641</v>
      </c>
      <c r="AB14" s="21" t="n">
        <v>-1809925147</v>
      </c>
      <c r="AC14" s="21" t="n">
        <v>-1882322153</v>
      </c>
      <c r="AD14" s="21" t="n">
        <v>-1957615039</v>
      </c>
      <c r="AE14" s="21" t="n">
        <v>-2035919640</v>
      </c>
      <c r="AF14" s="21" t="n">
        <v>-2117356426</v>
      </c>
      <c r="AG14" s="21" t="n">
        <v>-2202050683</v>
      </c>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280533333</v>
      </c>
      <c r="D29" s="21" t="n">
        <v>288293333</v>
      </c>
      <c r="E29" s="21" t="n">
        <v>296321227</v>
      </c>
      <c r="F29" s="21" t="n">
        <v>304629521</v>
      </c>
      <c r="G29" s="21" t="n">
        <v>313231429</v>
      </c>
      <c r="H29" s="21" t="n">
        <v>322140918</v>
      </c>
      <c r="I29" s="21" t="n">
        <v>331372743</v>
      </c>
      <c r="J29" s="21" t="n">
        <v>340942506</v>
      </c>
      <c r="K29" s="21" t="n">
        <v>350866698</v>
      </c>
      <c r="L29" s="21" t="n">
        <v>361162754</v>
      </c>
      <c r="M29" s="21" t="n">
        <v>371849111</v>
      </c>
      <c r="N29" s="21" t="n">
        <v>382945267</v>
      </c>
      <c r="O29" s="21" t="n">
        <v>394471839</v>
      </c>
      <c r="P29" s="21" t="n">
        <v>406450639</v>
      </c>
      <c r="Q29" s="21" t="n">
        <v>418904733</v>
      </c>
      <c r="R29" s="21" t="n">
        <v>431858527</v>
      </c>
      <c r="S29" s="21" t="n">
        <v>445337837</v>
      </c>
      <c r="T29" s="21" t="n">
        <v>459369975</v>
      </c>
      <c r="U29" s="21" t="n">
        <v>473983841</v>
      </c>
      <c r="V29" s="21" t="n">
        <v>489210011</v>
      </c>
      <c r="W29" s="21" t="n">
        <v>505080838</v>
      </c>
      <c r="X29" s="21" t="n">
        <v>521630557</v>
      </c>
      <c r="Y29" s="21" t="n">
        <v>538895395</v>
      </c>
      <c r="Z29" s="21" t="n">
        <v>556913687</v>
      </c>
      <c r="AA29" s="21" t="n">
        <v>575726001</v>
      </c>
      <c r="AB29" s="21" t="n">
        <v>595375268</v>
      </c>
      <c r="AC29" s="21" t="n">
        <v>615906918</v>
      </c>
      <c r="AD29" s="21" t="n">
        <v>637369030</v>
      </c>
      <c r="AE29" s="21" t="n">
        <v>659812482</v>
      </c>
      <c r="AF29" s="21" t="n">
        <v>683291119</v>
      </c>
      <c r="AG29" s="21" t="n">
        <v>707861920</v>
      </c>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-120000000</v>
      </c>
      <c r="D43" s="21" t="n">
        <v>-123600000</v>
      </c>
      <c r="E43" s="21" t="n">
        <v>-127308000</v>
      </c>
      <c r="F43" s="21" t="n">
        <v>-131127240</v>
      </c>
      <c r="G43" s="21" t="n">
        <v>-135061057</v>
      </c>
      <c r="H43" s="21" t="n">
        <v>-139112889</v>
      </c>
      <c r="I43" s="21" t="n">
        <v>-143286276</v>
      </c>
      <c r="J43" s="21" t="n">
        <v>-147584864</v>
      </c>
      <c r="K43" s="21" t="n">
        <v>-152012410</v>
      </c>
      <c r="L43" s="21" t="n">
        <v>-156572782</v>
      </c>
      <c r="M43" s="21" t="n">
        <v>-161269966</v>
      </c>
      <c r="N43" s="21" t="n">
        <v>-166108064</v>
      </c>
      <c r="O43" s="21" t="n">
        <v>-171091306</v>
      </c>
      <c r="P43" s="21" t="n">
        <v>-176224046</v>
      </c>
      <c r="Q43" s="21" t="n">
        <v>-181510767</v>
      </c>
      <c r="R43" s="21" t="n">
        <v>-186956090</v>
      </c>
      <c r="S43" s="21" t="n">
        <v>-192564773</v>
      </c>
      <c r="T43" s="21" t="n">
        <v>-198341716</v>
      </c>
      <c r="U43" s="21" t="n">
        <v>-204291967</v>
      </c>
      <c r="V43" s="21" t="n">
        <v>-210420726</v>
      </c>
      <c r="W43" s="21" t="n">
        <v>-216733348</v>
      </c>
      <c r="X43" s="21" t="n">
        <v>-223235349</v>
      </c>
      <c r="Y43" s="21" t="n">
        <v>-229932409</v>
      </c>
      <c r="Z43" s="21" t="n">
        <v>-236830381</v>
      </c>
      <c r="AA43" s="21" t="n">
        <v>-243935293</v>
      </c>
      <c r="AB43" s="21" t="n">
        <v>-251253352</v>
      </c>
      <c r="AC43" s="21" t="n">
        <v>-258790952</v>
      </c>
      <c r="AD43" s="21" t="n">
        <v>-266554681</v>
      </c>
      <c r="AE43" s="21" t="n">
        <v>-274551321</v>
      </c>
      <c r="AF43" s="21" t="n">
        <v>-282787861</v>
      </c>
      <c r="AG43" s="21" t="n">
        <v>-291271497</v>
      </c>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160533333</v>
      </c>
      <c r="D63" s="21" t="n">
        <v>164693333</v>
      </c>
      <c r="E63" s="21" t="n">
        <v>169013227</v>
      </c>
      <c r="F63" s="21" t="n">
        <v>173502281</v>
      </c>
      <c r="G63" s="21" t="n">
        <v>178170372</v>
      </c>
      <c r="H63" s="21" t="n">
        <v>183028029</v>
      </c>
      <c r="I63" s="21" t="n">
        <v>188086468</v>
      </c>
      <c r="J63" s="21" t="n">
        <v>193357642</v>
      </c>
      <c r="K63" s="21" t="n">
        <v>198854288</v>
      </c>
      <c r="L63" s="21" t="n">
        <v>204589972</v>
      </c>
      <c r="M63" s="21" t="n">
        <v>210579146</v>
      </c>
      <c r="N63" s="21" t="n">
        <v>216837202</v>
      </c>
      <c r="O63" s="21" t="n">
        <v>223380533</v>
      </c>
      <c r="P63" s="21" t="n">
        <v>230226593</v>
      </c>
      <c r="Q63" s="21" t="n">
        <v>237393966</v>
      </c>
      <c r="R63" s="21" t="n">
        <v>244902437</v>
      </c>
      <c r="S63" s="21" t="n">
        <v>252773064</v>
      </c>
      <c r="T63" s="21" t="n">
        <v>261028259</v>
      </c>
      <c r="U63" s="21" t="n">
        <v>269691874</v>
      </c>
      <c r="V63" s="21" t="n">
        <v>278789284</v>
      </c>
      <c r="W63" s="21" t="n">
        <v>288347489</v>
      </c>
      <c r="X63" s="21" t="n">
        <v>298395208</v>
      </c>
      <c r="Y63" s="21" t="n">
        <v>308962986</v>
      </c>
      <c r="Z63" s="21" t="n">
        <v>320083306</v>
      </c>
      <c r="AA63" s="21" t="n">
        <v>331790708</v>
      </c>
      <c r="AB63" s="21" t="n">
        <v>344121916</v>
      </c>
      <c r="AC63" s="21" t="n">
        <v>357115966</v>
      </c>
      <c r="AD63" s="21" t="n">
        <v>370814349</v>
      </c>
      <c r="AE63" s="21" t="n">
        <v>385261161</v>
      </c>
      <c r="AF63" s="21" t="n">
        <v>400503258</v>
      </c>
      <c r="AG63" s="21" t="n">
        <v>416590424</v>
      </c>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-116666667</v>
      </c>
      <c r="D65" s="23" t="n">
        <v>-116666667</v>
      </c>
      <c r="E65" s="23" t="n">
        <v>-116666667</v>
      </c>
      <c r="F65" s="23" t="n">
        <v>-116666667</v>
      </c>
      <c r="G65" s="23" t="n">
        <v>-116666667</v>
      </c>
      <c r="H65" s="23" t="n">
        <v>-116666667</v>
      </c>
      <c r="I65" s="23" t="n">
        <v>-116666667</v>
      </c>
      <c r="J65" s="23" t="n">
        <v>-116666667</v>
      </c>
      <c r="K65" s="23" t="n">
        <v>-116666667</v>
      </c>
      <c r="L65" s="23" t="n">
        <v>-116666667</v>
      </c>
      <c r="M65" s="23" t="n">
        <v>-116666667</v>
      </c>
      <c r="N65" s="23" t="n">
        <v>-116666667</v>
      </c>
      <c r="O65" s="23" t="n">
        <v>-116666667</v>
      </c>
      <c r="P65" s="23" t="n">
        <v>-116666667</v>
      </c>
      <c r="Q65" s="23" t="n">
        <v>-116666667</v>
      </c>
      <c r="R65" s="23" t="n">
        <v>-116666667</v>
      </c>
      <c r="S65" s="23" t="n">
        <v>-116666667</v>
      </c>
      <c r="T65" s="23" t="n">
        <v>-116666667</v>
      </c>
      <c r="U65" s="23" t="n">
        <v>-116666667</v>
      </c>
      <c r="V65" s="23" t="n">
        <v>-116666667</v>
      </c>
      <c r="W65" s="23" t="n">
        <v>-116666667</v>
      </c>
      <c r="X65" s="23" t="n">
        <v>-116666667</v>
      </c>
      <c r="Y65" s="23" t="n">
        <v>-116666667</v>
      </c>
      <c r="Z65" s="23" t="n">
        <v>-116666667</v>
      </c>
      <c r="AA65" s="23" t="n">
        <v>-116666667</v>
      </c>
      <c r="AB65" s="23" t="n">
        <v>-116666667</v>
      </c>
      <c r="AC65" s="23" t="n">
        <v>-116666667</v>
      </c>
      <c r="AD65" s="23" t="n">
        <v>-116666667</v>
      </c>
      <c r="AE65" s="23" t="n">
        <v>-116666667</v>
      </c>
      <c r="AF65" s="23" t="n">
        <v>-116666667</v>
      </c>
      <c r="AG65" s="23" t="n">
        <v>-116666667</v>
      </c>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116666667</v>
      </c>
      <c r="D67" s="21" t="n">
        <v>116666667</v>
      </c>
      <c r="E67" s="21" t="n">
        <v>116666667</v>
      </c>
      <c r="F67" s="21" t="n">
        <v>116666667</v>
      </c>
      <c r="G67" s="21" t="n">
        <v>116666667</v>
      </c>
      <c r="H67" s="21" t="n">
        <v>116666667</v>
      </c>
      <c r="I67" s="21" t="n">
        <v>116666667</v>
      </c>
      <c r="J67" s="21" t="n">
        <v>116666667</v>
      </c>
      <c r="K67" s="21" t="n">
        <v>116666667</v>
      </c>
      <c r="L67" s="21" t="n">
        <v>116666667</v>
      </c>
      <c r="M67" s="21" t="n">
        <v>116666667</v>
      </c>
      <c r="N67" s="21" t="n">
        <v>116666667</v>
      </c>
      <c r="O67" s="21" t="n">
        <v>116666667</v>
      </c>
      <c r="P67" s="21" t="n">
        <v>116666667</v>
      </c>
      <c r="Q67" s="21" t="n">
        <v>116666667</v>
      </c>
      <c r="R67" s="21" t="n">
        <v>116666667</v>
      </c>
      <c r="S67" s="21" t="n">
        <v>116666667</v>
      </c>
      <c r="T67" s="21" t="n">
        <v>116666667</v>
      </c>
      <c r="U67" s="21" t="n">
        <v>116666667</v>
      </c>
      <c r="V67" s="21" t="n">
        <v>116666667</v>
      </c>
      <c r="W67" s="21" t="n">
        <v>116666667</v>
      </c>
      <c r="X67" s="21" t="n">
        <v>116666667</v>
      </c>
      <c r="Y67" s="21" t="n">
        <v>116666667</v>
      </c>
      <c r="Z67" s="21" t="n">
        <v>116666667</v>
      </c>
      <c r="AA67" s="21" t="n">
        <v>116666667</v>
      </c>
      <c r="AB67" s="21" t="n">
        <v>116666667</v>
      </c>
      <c r="AC67" s="21" t="n">
        <v>116666667</v>
      </c>
      <c r="AD67" s="21" t="n">
        <v>116666667</v>
      </c>
      <c r="AE67" s="21" t="n">
        <v>116666667</v>
      </c>
      <c r="AF67" s="21" t="n">
        <v>116666667</v>
      </c>
      <c r="AG67" s="21" t="n">
        <v>116666667</v>
      </c>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1.38</v>
      </c>
      <c r="D91" s="21" t="n">
        <v>1.41</v>
      </c>
      <c r="E91" s="21" t="n">
        <v>1.45</v>
      </c>
      <c r="F91" s="21" t="n">
        <v>1.49</v>
      </c>
      <c r="G91" s="21" t="n">
        <v>1.53</v>
      </c>
      <c r="H91" s="21" t="n">
        <v>1.57</v>
      </c>
      <c r="I91" s="21" t="n">
        <v>1.61</v>
      </c>
      <c r="J91" s="21" t="n">
        <v>1.66</v>
      </c>
      <c r="K91" s="21" t="n">
        <v>1.7</v>
      </c>
      <c r="L91" s="21" t="n">
        <v>1.75</v>
      </c>
      <c r="M91" s="21" t="n">
        <v>1.8</v>
      </c>
      <c r="N91" s="21" t="n">
        <v>1.86</v>
      </c>
      <c r="O91" s="21" t="n">
        <v>1.91</v>
      </c>
      <c r="P91" s="21" t="n">
        <v>1.97</v>
      </c>
      <c r="Q91" s="21" t="n">
        <v>2.03</v>
      </c>
      <c r="R91" s="21" t="n">
        <v>2.1</v>
      </c>
      <c r="S91" s="21" t="n">
        <v>2.17</v>
      </c>
      <c r="T91" s="21" t="n">
        <v>2.24</v>
      </c>
      <c r="U91" s="21" t="n">
        <v>2.31</v>
      </c>
      <c r="V91" s="21" t="n">
        <v>2.39</v>
      </c>
      <c r="W91" s="21" t="n">
        <v>2.47</v>
      </c>
      <c r="X91" s="21" t="n">
        <v>2.56</v>
      </c>
      <c r="Y91" s="21" t="n">
        <v>2.65</v>
      </c>
      <c r="Z91" s="21" t="n">
        <v>2.74</v>
      </c>
      <c r="AA91" s="21" t="n">
        <v>2.84</v>
      </c>
      <c r="AB91" s="21" t="n">
        <v>2.95</v>
      </c>
      <c r="AC91" s="21" t="n">
        <v>3.06</v>
      </c>
      <c r="AD91" s="21" t="n">
        <v>3.18</v>
      </c>
      <c r="AE91" s="21" t="n">
        <v>3.3</v>
      </c>
      <c r="AF91" s="21" t="n">
        <v>3.43</v>
      </c>
      <c r="AG91" s="21" t="n">
        <v>3.57</v>
      </c>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10.69</v>
      </c>
      <c r="D93" s="21" t="n">
        <v>10.41</v>
      </c>
      <c r="E93" s="21" t="n">
        <v>10.12</v>
      </c>
      <c r="F93" s="21" t="n">
        <v>9.85</v>
      </c>
      <c r="G93" s="21" t="n">
        <v>9.58</v>
      </c>
      <c r="H93" s="21" t="n">
        <v>9.31</v>
      </c>
      <c r="I93" s="21" t="n">
        <v>9.050000000000001</v>
      </c>
      <c r="J93" s="21" t="n">
        <v>8.800000000000001</v>
      </c>
      <c r="K93" s="21" t="n">
        <v>8.550000000000001</v>
      </c>
      <c r="L93" s="21" t="n">
        <v>8.31</v>
      </c>
      <c r="M93" s="21" t="n">
        <v>8.07</v>
      </c>
      <c r="N93" s="21" t="n">
        <v>7.83</v>
      </c>
      <c r="O93" s="21" t="n">
        <v>7.61</v>
      </c>
      <c r="P93" s="21" t="n">
        <v>7.38</v>
      </c>
      <c r="Q93" s="21" t="n">
        <v>7.16</v>
      </c>
      <c r="R93" s="21" t="n">
        <v>6.95</v>
      </c>
      <c r="S93" s="21" t="n">
        <v>6.74</v>
      </c>
      <c r="T93" s="21" t="n">
        <v>6.53</v>
      </c>
      <c r="U93" s="21" t="n">
        <v>6.33</v>
      </c>
      <c r="V93" s="21" t="n">
        <v>6.13</v>
      </c>
      <c r="W93" s="21" t="n">
        <v>5.94</v>
      </c>
      <c r="X93" s="21" t="n">
        <v>5.75</v>
      </c>
      <c r="Y93" s="21" t="n">
        <v>5.57</v>
      </c>
      <c r="Z93" s="21" t="n">
        <v>5.39</v>
      </c>
      <c r="AA93" s="21" t="n">
        <v>5.21</v>
      </c>
      <c r="AB93" s="21" t="n">
        <v>5.04</v>
      </c>
      <c r="AC93" s="21" t="n">
        <v>4.87</v>
      </c>
      <c r="AD93" s="21" t="n">
        <v>4.71</v>
      </c>
      <c r="AE93" s="21" t="n">
        <v>4.55</v>
      </c>
      <c r="AF93" s="21" t="n">
        <v>4.39</v>
      </c>
      <c r="AG93" s="21" t="n">
        <v>4.24</v>
      </c>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v>15</v>
      </c>
      <c r="J96" s="23" t="n">
        <v>30</v>
      </c>
      <c r="K96" s="23" t="n">
        <v>40</v>
      </c>
      <c r="L96" s="23" t="n">
        <v>45</v>
      </c>
      <c r="M96" s="23" t="n">
        <v>48</v>
      </c>
      <c r="N96" s="23" t="n">
        <v>50</v>
      </c>
      <c r="O96" s="23" t="n">
        <v>50</v>
      </c>
      <c r="P96" s="23" t="n">
        <v>50</v>
      </c>
      <c r="Q96" s="23" t="n">
        <v>50</v>
      </c>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v>4.8</v>
      </c>
      <c r="J97" s="23" t="n">
        <v>5</v>
      </c>
      <c r="K97" s="23" t="n">
        <v>5.1</v>
      </c>
      <c r="L97" s="23" t="n">
        <v>5.2</v>
      </c>
      <c r="M97" s="23" t="n">
        <v>5.3</v>
      </c>
      <c r="N97" s="23" t="n">
        <v>5.3</v>
      </c>
      <c r="O97" s="23" t="n">
        <v>5.4</v>
      </c>
      <c r="P97" s="23" t="n">
        <v>5.4</v>
      </c>
      <c r="Q97" s="23" t="n">
        <v>5.5</v>
      </c>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v>40</v>
      </c>
      <c r="J98" s="23" t="n">
        <v>42</v>
      </c>
      <c r="K98" s="23" t="n">
        <v>45</v>
      </c>
      <c r="L98" s="23" t="n">
        <v>47</v>
      </c>
      <c r="M98" s="23" t="n">
        <v>48</v>
      </c>
      <c r="N98" s="23" t="n">
        <v>49</v>
      </c>
      <c r="O98" s="23" t="n">
        <v>50</v>
      </c>
      <c r="P98" s="23" t="n">
        <v>50</v>
      </c>
      <c r="Q98" s="23" t="n">
        <v>50</v>
      </c>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v>2</v>
      </c>
      <c r="J99" s="23" t="n">
        <v>2.2</v>
      </c>
      <c r="K99" s="23" t="n">
        <v>2.5</v>
      </c>
      <c r="L99" s="23" t="n">
        <v>2.8</v>
      </c>
      <c r="M99" s="23" t="n">
        <v>3</v>
      </c>
      <c r="N99" s="23" t="n">
        <v>3.2</v>
      </c>
      <c r="O99" s="23" t="n">
        <v>3.4</v>
      </c>
      <c r="P99" s="23" t="n">
        <v>3.5</v>
      </c>
      <c r="Q99" s="23" t="n">
        <v>3.6</v>
      </c>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v>0.55</v>
      </c>
      <c r="J100" s="23" t="n">
        <v>0.53</v>
      </c>
      <c r="K100" s="23" t="n">
        <v>0.52</v>
      </c>
      <c r="L100" s="23" t="n">
        <v>0.5</v>
      </c>
      <c r="M100" s="23" t="n">
        <v>0.49</v>
      </c>
      <c r="N100" s="23" t="n">
        <v>0.48</v>
      </c>
      <c r="O100" s="23" t="n">
        <v>0.47</v>
      </c>
      <c r="P100" s="23" t="n">
        <v>0.46</v>
      </c>
      <c r="Q100" s="23" t="n">
        <v>0.45</v>
      </c>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v>35</v>
      </c>
      <c r="J96" s="23" t="n">
        <v>36</v>
      </c>
      <c r="K96" s="23" t="n">
        <v>38</v>
      </c>
      <c r="L96" s="23" t="n">
        <v>40</v>
      </c>
      <c r="M96" s="23" t="n">
        <v>42</v>
      </c>
      <c r="N96" s="23" t="n">
        <v>43</v>
      </c>
      <c r="O96" s="23" t="n">
        <v>44</v>
      </c>
      <c r="P96" s="23" t="n">
        <v>45</v>
      </c>
      <c r="Q96" s="23" t="n">
        <v>45</v>
      </c>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v>4.8</v>
      </c>
      <c r="J97" s="23" t="n">
        <v>5</v>
      </c>
      <c r="K97" s="23" t="n">
        <v>5.1</v>
      </c>
      <c r="L97" s="23" t="n">
        <v>5.2</v>
      </c>
      <c r="M97" s="23" t="n">
        <v>5.3</v>
      </c>
      <c r="N97" s="23" t="n">
        <v>5.3</v>
      </c>
      <c r="O97" s="23" t="n">
        <v>5.4</v>
      </c>
      <c r="P97" s="23" t="n">
        <v>5.4</v>
      </c>
      <c r="Q97" s="23" t="n">
        <v>5.5</v>
      </c>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v>40</v>
      </c>
      <c r="J98" s="23" t="n">
        <v>42</v>
      </c>
      <c r="K98" s="23" t="n">
        <v>45</v>
      </c>
      <c r="L98" s="23" t="n">
        <v>47</v>
      </c>
      <c r="M98" s="23" t="n">
        <v>48</v>
      </c>
      <c r="N98" s="23" t="n">
        <v>49</v>
      </c>
      <c r="O98" s="23" t="n">
        <v>50</v>
      </c>
      <c r="P98" s="23" t="n">
        <v>50</v>
      </c>
      <c r="Q98" s="23" t="n">
        <v>50</v>
      </c>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v>2</v>
      </c>
      <c r="J99" s="23" t="n">
        <v>2.2</v>
      </c>
      <c r="K99" s="23" t="n">
        <v>2.5</v>
      </c>
      <c r="L99" s="23" t="n">
        <v>2.8</v>
      </c>
      <c r="M99" s="23" t="n">
        <v>3</v>
      </c>
      <c r="N99" s="23" t="n">
        <v>3.2</v>
      </c>
      <c r="O99" s="23" t="n">
        <v>3.4</v>
      </c>
      <c r="P99" s="23" t="n">
        <v>3.5</v>
      </c>
      <c r="Q99" s="23" t="n">
        <v>3.6</v>
      </c>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v>0.55</v>
      </c>
      <c r="J100" s="23" t="n">
        <v>0.53</v>
      </c>
      <c r="K100" s="23" t="n">
        <v>0.52</v>
      </c>
      <c r="L100" s="23" t="n">
        <v>0.5</v>
      </c>
      <c r="M100" s="23" t="n">
        <v>0.49</v>
      </c>
      <c r="N100" s="23" t="n">
        <v>0.48</v>
      </c>
      <c r="O100" s="23" t="n">
        <v>0.47</v>
      </c>
      <c r="P100" s="23" t="n">
        <v>0.46</v>
      </c>
      <c r="Q100" s="23" t="n">
        <v>0.45</v>
      </c>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959400000</v>
      </c>
      <c r="D4" s="21" t="n">
        <v>217000000</v>
      </c>
      <c r="E4" s="21" t="n">
        <v>192700000</v>
      </c>
      <c r="F4" s="21" t="n">
        <v>776600000</v>
      </c>
      <c r="G4" s="21" t="n">
        <v>1015100000</v>
      </c>
      <c r="H4" s="21" t="n">
        <v>1130300000</v>
      </c>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540300000</v>
      </c>
      <c r="D5" s="23" t="n">
        <v>89700000</v>
      </c>
      <c r="E5" s="23" t="n">
        <v>85600000</v>
      </c>
      <c r="F5" s="23" t="n">
        <v>405700000</v>
      </c>
      <c r="G5" s="23" t="n">
        <v>545700000</v>
      </c>
      <c r="H5" s="23" t="n">
        <v>599400000</v>
      </c>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212500000</v>
      </c>
      <c r="D6" s="23" t="n">
        <v>49800000</v>
      </c>
      <c r="E6" s="23" t="n">
        <v>38600000</v>
      </c>
      <c r="F6" s="23" t="n">
        <v>158600000</v>
      </c>
      <c r="G6" s="23" t="n">
        <v>207700000</v>
      </c>
      <c r="H6" s="23" t="n">
        <v>241300000</v>
      </c>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94100000</v>
      </c>
      <c r="D7" s="23" t="n">
        <v>17700000</v>
      </c>
      <c r="E7" s="23" t="n">
        <v>18000000</v>
      </c>
      <c r="F7" s="23" t="n">
        <v>101700000</v>
      </c>
      <c r="G7" s="23" t="n">
        <v>132800000</v>
      </c>
      <c r="H7" s="23" t="n">
        <v>147800000</v>
      </c>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v>32700000</v>
      </c>
      <c r="D8" s="23" t="n">
        <v>30600000</v>
      </c>
      <c r="E8" s="23" t="n">
        <v>25900000</v>
      </c>
      <c r="F8" s="23" t="n">
        <v>30800000</v>
      </c>
      <c r="G8" s="23" t="n">
        <v>31000000</v>
      </c>
      <c r="H8" s="23" t="n">
        <v>35000000</v>
      </c>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v>36100000</v>
      </c>
      <c r="D9" s="23" t="n">
        <v>12700000</v>
      </c>
      <c r="E9" s="23" t="n">
        <v>10500000</v>
      </c>
      <c r="F9" s="23" t="n">
        <v>41500000</v>
      </c>
      <c r="G9" s="23" t="n">
        <v>41200000</v>
      </c>
      <c r="H9" s="23" t="n">
        <v>45500000</v>
      </c>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v>43700000</v>
      </c>
      <c r="D10" s="23" t="n">
        <v>16500000</v>
      </c>
      <c r="E10" s="23" t="n">
        <v>14100000</v>
      </c>
      <c r="F10" s="23" t="n">
        <v>38300000</v>
      </c>
      <c r="G10" s="23" t="n">
        <v>56700000</v>
      </c>
      <c r="H10" s="23" t="n">
        <v>61300000</v>
      </c>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-678900000</v>
      </c>
      <c r="D14" s="21" t="n">
        <v>-484000000</v>
      </c>
      <c r="E14" s="21" t="n">
        <v>-393900000</v>
      </c>
      <c r="F14" s="21" t="n">
        <v>-525000000</v>
      </c>
      <c r="G14" s="21" t="n">
        <v>-650400000</v>
      </c>
      <c r="H14" s="21" t="n">
        <v>-716500000</v>
      </c>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490500000</v>
      </c>
      <c r="D29" s="21" t="n">
        <v>-44000000</v>
      </c>
      <c r="E29" s="21" t="n">
        <v>-26300000</v>
      </c>
      <c r="F29" s="21" t="n">
        <v>446300000</v>
      </c>
      <c r="G29" s="21" t="n">
        <v>518800000</v>
      </c>
      <c r="H29" s="21" t="n">
        <v>571400000</v>
      </c>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v>-132000000</v>
      </c>
      <c r="H38" s="23" t="n">
        <v>-145200000</v>
      </c>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v>-132000000</v>
      </c>
      <c r="H43" s="21" t="n">
        <v>-145200000</v>
      </c>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490500000</v>
      </c>
      <c r="D63" s="21" t="n">
        <v>-44000000</v>
      </c>
      <c r="E63" s="21" t="n">
        <v>-26300000</v>
      </c>
      <c r="F63" s="21" t="n">
        <v>446300000</v>
      </c>
      <c r="G63" s="21" t="n">
        <v>386800000</v>
      </c>
      <c r="H63" s="21" t="n">
        <v>426200000</v>
      </c>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-116700000</v>
      </c>
      <c r="D65" s="23" t="n">
        <v>-129100000</v>
      </c>
      <c r="E65" s="23" t="n">
        <v>-149800000</v>
      </c>
      <c r="F65" s="23" t="n">
        <v>-171800000</v>
      </c>
      <c r="G65" s="23" t="n">
        <v>-129800000</v>
      </c>
      <c r="H65" s="23" t="n">
        <v>-145400000</v>
      </c>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116700000</v>
      </c>
      <c r="D67" s="21" t="n">
        <v>129100000</v>
      </c>
      <c r="E67" s="21" t="n">
        <v>149800000</v>
      </c>
      <c r="F67" s="21" t="n">
        <v>171800000</v>
      </c>
      <c r="G67" s="21" t="n">
        <v>129800000</v>
      </c>
      <c r="H67" s="21" t="n">
        <v>145400000</v>
      </c>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11.78</v>
      </c>
      <c r="D91" s="21" t="n"/>
      <c r="E91" s="21" t="n"/>
      <c r="F91" s="21" t="n">
        <v>4.15</v>
      </c>
      <c r="G91" s="21" t="n">
        <v>3.48</v>
      </c>
      <c r="H91" s="21" t="n">
        <v>3.94</v>
      </c>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5.98</v>
      </c>
      <c r="D93" s="21" t="n">
        <v>99.98999999999999</v>
      </c>
      <c r="E93" s="21" t="n">
        <v>99.98999999999999</v>
      </c>
      <c r="F93" s="21" t="n">
        <v>6.15</v>
      </c>
      <c r="G93" s="21" t="n">
        <v>5.08</v>
      </c>
      <c r="H93" s="21" t="n">
        <v>5.89</v>
      </c>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v>40.9</v>
      </c>
      <c r="H96" s="23" t="n">
        <v>43.2</v>
      </c>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v>5</v>
      </c>
      <c r="H97" s="23" t="n">
        <v>5.47</v>
      </c>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51.1</v>
      </c>
      <c r="D98" s="23" t="n">
        <v>-20.3</v>
      </c>
      <c r="E98" s="23" t="n">
        <v>-13.6</v>
      </c>
      <c r="F98" s="23" t="n">
        <v>57.5</v>
      </c>
      <c r="G98" s="23" t="n">
        <v>51.1</v>
      </c>
      <c r="H98" s="23" t="n">
        <v>50.6</v>
      </c>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11.78</v>
      </c>
      <c r="D99" s="23" t="n"/>
      <c r="E99" s="23" t="n"/>
      <c r="F99" s="23" t="n">
        <v>4.15</v>
      </c>
      <c r="G99" s="23" t="n">
        <v>3.48</v>
      </c>
      <c r="H99" s="23" t="n">
        <v>3.94</v>
      </c>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0.6</v>
      </c>
      <c r="D100" s="23" t="n"/>
      <c r="E100" s="23" t="n"/>
      <c r="F100" s="23" t="n">
        <v>0.55</v>
      </c>
      <c r="G100" s="23" t="n">
        <v>0.45</v>
      </c>
      <c r="H100" s="23" t="n">
        <v>0.49</v>
      </c>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v>2</v>
      </c>
      <c r="F10" s="7" t="n">
        <v>3</v>
      </c>
      <c r="G10" s="24">
        <f>IF(AND(E10&lt;&gt;"",F10&lt;&gt;""),E10*F10,"")</f>
        <v/>
      </c>
      <c r="H10" s="7" t="inlineStr">
        <is>
          <t>stable</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v>3</v>
      </c>
      <c r="F13" s="7" t="n">
        <v>4</v>
      </c>
      <c r="G13" s="24">
        <f>IF(AND(E13&lt;&gt;"",F13&lt;&gt;""),E13*F13,"")</f>
        <v/>
      </c>
      <c r="H13" s="7" t="inlineStr">
        <is>
          <t>stable</t>
        </is>
      </c>
      <c r="I13" s="7" t="n"/>
      <c r="J13" s="7" t="n"/>
      <c r="K13" s="7" t="n"/>
      <c r="L13" s="7" t="n"/>
    </row>
    <row r="14">
      <c r="A14" s="7" t="n"/>
      <c r="B14" s="7" t="n"/>
      <c r="C14" s="7" t="n"/>
      <c r="D14" s="7" t="n"/>
      <c r="E14" s="7" t="n">
        <v>1</v>
      </c>
      <c r="F14" s="7" t="n">
        <v>2</v>
      </c>
      <c r="G14" s="24">
        <f>IF(AND(E14&lt;&gt;"",F14&lt;&gt;""),E14*F14,"")</f>
        <v/>
      </c>
      <c r="H14" s="7" t="inlineStr">
        <is>
          <t>stable</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v>3</v>
      </c>
      <c r="F18" s="7" t="n">
        <v>4</v>
      </c>
      <c r="G18" s="24">
        <f>IF(AND(E18&lt;&gt;"",F18&lt;&gt;""),E18*F18,"")</f>
        <v/>
      </c>
      <c r="H18" s="7" t="inlineStr">
        <is>
          <t>stable</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v>3</v>
      </c>
      <c r="F21" s="7" t="n">
        <v>3</v>
      </c>
      <c r="G21" s="24">
        <f>IF(AND(E21&lt;&gt;"",F21&lt;&gt;""),E21*F21,"")</f>
        <v/>
      </c>
      <c r="H21" s="7" t="inlineStr">
        <is>
          <t>stable</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E26" t="n">
        <v>4</v>
      </c>
      <c r="F26" t="n">
        <v>4</v>
      </c>
      <c r="H26" t="inlineStr">
        <is>
          <t>stable</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E45" t="n">
        <v>3</v>
      </c>
      <c r="F45" t="n">
        <v>4</v>
      </c>
      <c r="H45" t="inlineStr">
        <is>
          <t>stable</t>
        </is>
      </c>
    </row>
    <row r="46">
      <c r="E46" t="n">
        <v>2</v>
      </c>
      <c r="F46" t="n">
        <v>3</v>
      </c>
      <c r="H46" t="inlineStr">
        <is>
          <t>stable</t>
        </is>
      </c>
    </row>
    <row r="47">
      <c r="H47" t="inlineStr">
        <is>
          <t>new</t>
        </is>
      </c>
    </row>
    <row r="48">
      <c r="H48" t="inlineStr">
        <is>
          <t>new</t>
        </is>
      </c>
    </row>
    <row r="49">
      <c r="E49" t="n">
        <v>3</v>
      </c>
      <c r="F49" t="n">
        <v>3</v>
      </c>
      <c r="H49" t="inlineStr">
        <is>
          <t>stable</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H92" t="inlineStr">
        <is>
          <t>new</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E143" t="n">
        <v>3</v>
      </c>
      <c r="F143" t="n">
        <v>4</v>
      </c>
      <c r="H143" t="inlineStr">
        <is>
          <t>stable</t>
        </is>
      </c>
    </row>
    <row r="144">
      <c r="H144" t="inlineStr">
        <is>
          <t>new</t>
        </is>
      </c>
    </row>
    <row r="145">
      <c r="H145" t="inlineStr">
        <is>
          <t>new</t>
        </is>
      </c>
    </row>
    <row r="146">
      <c r="H146" t="inlineStr">
        <is>
          <t>new</t>
        </is>
      </c>
    </row>
    <row r="147">
      <c r="E147" t="n">
        <v>2</v>
      </c>
      <c r="F147" t="n">
        <v>3</v>
      </c>
      <c r="H147" t="inlineStr">
        <is>
          <t>stable</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E189" t="n">
        <v>2</v>
      </c>
      <c r="F189" t="n">
        <v>3</v>
      </c>
      <c r="H189" t="inlineStr">
        <is>
          <t>stable</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E230" t="n">
        <v>3</v>
      </c>
      <c r="F230" t="n">
        <v>3</v>
      </c>
      <c r="H230" t="inlineStr">
        <is>
          <t>stable</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H232" t="inlineStr">
        <is>
          <t>new</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D236"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6" t="inlineStr">
        <is>
          <t>new</t>
        </is>
      </c>
    </row>
    <row r="237">
      <c r="H237" t="inlineStr">
        <is>
          <t>new</t>
        </is>
      </c>
    </row>
    <row r="238">
      <c r="D238"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8" t="inlineStr">
        <is>
          <t>new</t>
        </is>
      </c>
    </row>
    <row r="239">
      <c r="H239" t="inlineStr">
        <is>
          <t>new</t>
        </is>
      </c>
    </row>
    <row r="240">
      <c r="H240" t="inlineStr">
        <is>
          <t>new</t>
        </is>
      </c>
    </row>
    <row r="241">
      <c r="D241" t="inlineStr">
        <is>
          <t>Systematic underestimation of construction costs and timelines, particularly for complex or first-of-kind projects. Cost overruns erode equity cushion and can trigger additional debt requirements.</t>
        </is>
      </c>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2"/>
    <row r="3">
      <c r="A3" s="25" t="inlineStr">
        <is>
          <t>Field</t>
        </is>
      </c>
      <c r="B3" s="25" t="inlineStr">
        <is>
          <t>Value</t>
        </is>
      </c>
      <c r="C3" s="25" t="inlineStr">
        <is>
          <t>Guidance</t>
        </is>
      </c>
    </row>
    <row r="4">
      <c r="A4" s="4" t="inlineStr">
        <is>
          <t>SNAPSHOT METADATA</t>
        </is>
      </c>
      <c r="B4" s="27" t="n"/>
      <c r="C4" s="28" t="n"/>
    </row>
    <row r="5">
      <c r="A5" s="6" t="inlineStr">
        <is>
          <t>Snapshot Date *</t>
        </is>
      </c>
      <c r="B5" s="7" t="inlineStr">
        <is>
          <t>2019-04-01</t>
        </is>
      </c>
      <c r="C5" s="8" t="inlineStr">
        <is>
          <t>Usually the origination date (YYYY-MM-DD)</t>
        </is>
      </c>
    </row>
    <row r="6">
      <c r="A6" s="6" t="inlineStr">
        <is>
          <t>Snapshot Reason *</t>
        </is>
      </c>
      <c r="B6" s="7" t="inlineStr">
        <is>
          <t>origination</t>
        </is>
      </c>
      <c r="C6" s="8" t="inlineStr">
        <is>
          <t>origination | restructuring | re_underwriting | covenant_reset</t>
        </is>
      </c>
    </row>
    <row r="7">
      <c r="A7" s="9" t="inlineStr">
        <is>
          <t>Captured By</t>
        </is>
      </c>
      <c r="B7" s="7" t="n"/>
      <c r="C7" s="8" t="inlineStr">
        <is>
          <t>IC approver or credit officer</t>
        </is>
      </c>
    </row>
    <row r="8"/>
    <row r="9">
      <c r="A9" s="4" t="inlineStr">
        <is>
          <t>A. STRUCTURAL POSITION AT ONBOARDING</t>
        </is>
      </c>
      <c r="B9" s="27" t="n"/>
      <c r="C9" s="28" t="n"/>
    </row>
    <row r="10">
      <c r="A10" s="9" t="inlineStr">
        <is>
          <t>Tail Years at Onboarding</t>
        </is>
      </c>
      <c r="B10" s="7" t="n">
        <v>11</v>
      </c>
      <c r="C10" s="8" t="inlineStr">
        <is>
          <t>Signed number of years (e.g. +3.07 or -2.50)</t>
        </is>
      </c>
    </row>
    <row r="11">
      <c r="A11" s="9" t="inlineStr">
        <is>
          <t>Tail Classification at Onboarding</t>
        </is>
      </c>
      <c r="B11" s="7" t="inlineStr">
        <is>
          <t>positive_tail</t>
        </is>
      </c>
      <c r="C11" s="8" t="inlineStr">
        <is>
          <t>positive_tail | matched | negative_tail</t>
        </is>
      </c>
    </row>
    <row r="12">
      <c r="A12" s="9" t="inlineStr">
        <is>
          <t>Renewal Profile at Onboarding</t>
        </is>
      </c>
      <c r="B12" s="7" t="inlineStr">
        <is>
          <t>deep_market_repricing</t>
        </is>
      </c>
      <c r="C12" s="8" t="inlineStr">
        <is>
          <t>Same values as main Renewal Profile field</t>
        </is>
      </c>
    </row>
    <row r="13">
      <c r="A13" s="9" t="inlineStr">
        <is>
          <t>Debt Repayment From Renewal % at Onboarding</t>
        </is>
      </c>
      <c r="B13" s="7" t="n">
        <v>55</v>
      </c>
      <c r="C13" s="8" t="inlineStr">
        <is>
          <t>0-100</t>
        </is>
      </c>
    </row>
    <row r="14">
      <c r="A14" s="9" t="inlineStr">
        <is>
          <t>Revenue Risk Code at Onboarding</t>
        </is>
      </c>
      <c r="B14" s="7" t="inlineStr">
        <is>
          <t>P3-V4-D3</t>
        </is>
      </c>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8"/>
    <row r="19">
      <c r="A19" s="4" t="inlineStr">
        <is>
          <t>B. FINANCIAL METRICS AT ONBOARDING</t>
        </is>
      </c>
      <c r="B19" s="27" t="n"/>
      <c r="C19" s="28" t="n"/>
    </row>
    <row r="20">
      <c r="A20" s="9" t="inlineStr">
        <is>
          <t>Entry Leverage</t>
        </is>
      </c>
      <c r="B20" s="7" t="n">
        <v>5.44</v>
      </c>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v>2.5</v>
      </c>
      <c r="C23" s="8" t="inlineStr">
        <is>
          <t>Year 1 Loan Life Coverage Ratio</t>
        </is>
      </c>
    </row>
    <row r="24">
      <c r="A24" s="9" t="inlineStr">
        <is>
          <t>Entry Loan Life (years)</t>
        </is>
      </c>
      <c r="B24" s="7" t="n">
        <v>30</v>
      </c>
      <c r="C24" s="8" t="inlineStr">
        <is>
          <t>Years from origination to final debt maturity</t>
        </is>
      </c>
    </row>
    <row r="25">
      <c r="A25" s="9" t="inlineStr">
        <is>
          <t>Entry Weighted Average Life</t>
        </is>
      </c>
      <c r="B25" s="7" t="n"/>
      <c r="C25" s="8" t="inlineStr">
        <is>
          <t>Debt WAL at origination</t>
        </is>
      </c>
    </row>
    <row r="26"/>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inlineStr">
        <is>
          <t>Lender case: Passenger volume -15%, RPI +50bps on costs, interest rates +100bps. Stress case: 30% revenue decline.</t>
        </is>
      </c>
      <c r="C31" s="8" t="inlineStr">
        <is>
          <t>Free text describing the scenarios stressed at IC</t>
        </is>
      </c>
    </row>
    <row r="32"/>
    <row r="33">
      <c r="A33" s="4" t="inlineStr">
        <is>
          <t>D. IC GOVERNANCE AT ONBOARDING</t>
        </is>
      </c>
      <c r="B33" s="27" t="n"/>
      <c r="C33" s="28" t="n"/>
    </row>
    <row r="34">
      <c r="A34" s="9" t="inlineStr">
        <is>
          <t>IC Memo Date</t>
        </is>
      </c>
      <c r="B34" s="7" t="inlineStr">
        <is>
          <t>2019-02-15</t>
        </is>
      </c>
      <c r="C34" s="8" t="inlineStr">
        <is>
          <t>Date the IC memo was approved (YYYY-MM-DD)</t>
        </is>
      </c>
    </row>
    <row r="35">
      <c r="A35" s="9" t="inlineStr">
        <is>
          <t>IC Memo Reference</t>
        </is>
      </c>
      <c r="B35" s="7" t="inlineStr">
        <is>
          <t>IC-2019-LGW-001</t>
        </is>
      </c>
      <c r="C35" s="8" t="inlineStr">
        <is>
          <t>Document reference / ID</t>
        </is>
      </c>
    </row>
    <row r="36">
      <c r="A36" s="9" t="inlineStr">
        <is>
          <t>IC Approved By</t>
        </is>
      </c>
      <c r="B36" s="7" t="inlineStr">
        <is>
          <t>Credit Committee</t>
        </is>
      </c>
      <c r="C36" s="8" t="inlineStr">
        <is>
          <t>Committee name or delegated approver</t>
        </is>
      </c>
    </row>
    <row r="37">
      <c r="A37" s="9" t="inlineStr">
        <is>
          <t>IC Approval Conditions</t>
        </is>
      </c>
      <c r="B37" s="7" t="inlineStr">
        <is>
          <t>Approved subject to: (i) quarterly passenger traffic reporting, (ii) 12-month LF, (iii) RAR monitoring at each calculation date.</t>
        </is>
      </c>
      <c r="C37" s="8" t="inlineStr">
        <is>
          <t>Any conditions imposed by the IC</t>
        </is>
      </c>
    </row>
    <row r="38">
      <c r="A38" s="9" t="inlineStr">
        <is>
          <t>IC Vote Margin</t>
        </is>
      </c>
      <c r="B38" s="7" t="inlineStr">
        <is>
          <t>unanimous</t>
        </is>
      </c>
      <c r="C38" s="8" t="inlineStr">
        <is>
          <t>unanimous | majority | dissented</t>
        </is>
      </c>
    </row>
    <row r="39"/>
    <row r="40">
      <c r="A40" s="4" t="inlineStr">
        <is>
          <t>E. ORIGINATION ECONOMICS</t>
        </is>
      </c>
      <c r="B40" s="27" t="n"/>
      <c r="C40" s="28" t="n"/>
    </row>
    <row r="41">
      <c r="A41" s="9" t="inlineStr">
        <is>
          <t>Entry All-In Margin (bps)</t>
        </is>
      </c>
      <c r="B41" s="7" t="n">
        <v>450</v>
      </c>
      <c r="C41" s="8" t="inlineStr">
        <is>
          <t>All-in margin at entry over reference rate</t>
        </is>
      </c>
    </row>
    <row r="42">
      <c r="A42" s="9" t="inlineStr">
        <is>
          <t>Entry Upfront Fees (bps)</t>
        </is>
      </c>
      <c r="B42" s="7" t="n">
        <v>80</v>
      </c>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v>0.0485</v>
      </c>
      <c r="C44" s="8" t="inlineStr">
        <is>
          <t>Expected YTM at origination (decimal, e.g. 0.0920 for 9.20%)</t>
        </is>
      </c>
    </row>
    <row r="45">
      <c r="A45" s="9" t="inlineStr">
        <is>
          <t>Expected Hold Period (years)</t>
        </is>
      </c>
      <c r="B45" s="7" t="n">
        <v>10</v>
      </c>
      <c r="C45" s="8" t="inlineStr">
        <is>
          <t>Expected investment horizon</t>
        </is>
      </c>
    </row>
    <row r="46">
      <c r="A46" s="9" t="inlineStr">
        <is>
          <t>Exit Strategy</t>
        </is>
      </c>
      <c r="B46" s="7" t="inlineStr">
        <is>
          <t>Hold to bond maturities with potential secondary sale at years 5-7.</t>
        </is>
      </c>
      <c r="C46" s="8" t="inlineStr">
        <is>
          <t>hold to maturity | sell | refinance | describe</t>
        </is>
      </c>
    </row>
    <row r="47"/>
    <row r="48">
      <c r="A48" s="4" t="inlineStr">
        <is>
          <t>F. MARKET CONTEXT AT ONBOARDING</t>
        </is>
      </c>
      <c r="B48" s="27" t="n"/>
      <c r="C48" s="28" t="n"/>
    </row>
    <row r="49">
      <c r="A49" s="9" t="inlineStr">
        <is>
          <t>Entry Risk-Free Rate (bps)</t>
        </is>
      </c>
      <c r="B49" s="7" t="n">
        <v>125</v>
      </c>
      <c r="C49" s="8" t="inlineStr">
        <is>
          <t>10yr gilt / Treasury at entry</t>
        </is>
      </c>
    </row>
    <row r="50">
      <c r="A50" s="9" t="inlineStr">
        <is>
          <t>Entry Credit Spread (bps)</t>
        </is>
      </c>
      <c r="B50" s="7" t="n">
        <v>325</v>
      </c>
      <c r="C50" s="8" t="inlineStr">
        <is>
          <t>Spread over risk-free rate at entry</t>
        </is>
      </c>
    </row>
    <row r="51">
      <c r="A51" s="9" t="inlineStr">
        <is>
          <t>Entry Relative Value Notes</t>
        </is>
      </c>
      <c r="B51" s="7" t="inlineStr">
        <is>
          <t>Entry spread of 325 bps over UK 10yr gilt reflected strong post-2018 recovery but single-runway operational concentration.</t>
        </is>
      </c>
      <c r="C51" s="8" t="inlineStr">
        <is>
          <t>Rationale for the deal at that time</t>
        </is>
      </c>
    </row>
    <row r="52"/>
    <row r="53">
      <c r="A53" s="4" t="inlineStr">
        <is>
          <t>G. INITIAL RISK ASSESSMENT</t>
        </is>
      </c>
      <c r="B53" s="27" t="n"/>
      <c r="C53" s="28" t="n"/>
    </row>
    <row r="54">
      <c r="A54" s="9" t="inlineStr">
        <is>
          <t>Initial Risk Score</t>
        </is>
      </c>
      <c r="B54" s="7" t="n">
        <v>38</v>
      </c>
      <c r="C54" s="8" t="inlineStr">
        <is>
          <t>Risk register score at origination</t>
        </is>
      </c>
    </row>
    <row r="55">
      <c r="A55" s="9" t="inlineStr">
        <is>
          <t>Initial Grade</t>
        </is>
      </c>
      <c r="B55" s="7" t="inlineStr">
        <is>
          <t>2 - In Line</t>
        </is>
      </c>
      <c r="C55" s="8" t="inlineStr">
        <is>
          <t>Grade at origination (e.g. 2 - In Line)</t>
        </is>
      </c>
    </row>
    <row r="56">
      <c r="A56" s="9" t="inlineStr">
        <is>
          <t>Critical Risks at Onboarding</t>
        </is>
      </c>
      <c r="B56" s="7" t="inlineStr">
        <is>
          <t>Top 3 at origination: (1) Passenger volume volatility from discretionary demand; (2) Regulatory review risk under CAA H7/Q7 framework; (3) Brexit short-term air traffic disruption.</t>
        </is>
      </c>
      <c r="C56" s="8" t="inlineStr">
        <is>
          <t>Top 3 risks summary narrative</t>
        </is>
      </c>
    </row>
    <row r="57"/>
    <row r="58">
      <c r="A58" s="9" t="inlineStr">
        <is>
          <t>Snapshot Notes</t>
        </is>
      </c>
      <c r="B58" s="7" t="n"/>
      <c r="C58" s="8" t="inlineStr">
        <is>
          <t>Any general notes about this snapshot</t>
        </is>
      </c>
    </row>
    <row r="59"/>
    <row r="60"/>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inlineStr">
        <is>
          <t>DC-001</t>
        </is>
      </c>
      <c r="B4" s="7" t="inlineStr">
        <is>
          <t>All Finance Document Payments Current</t>
        </is>
      </c>
      <c r="C4" s="7" t="n"/>
      <c r="D4" s="7" t="inlineStr">
        <is>
          <t>distribution_condition</t>
        </is>
      </c>
      <c r="E4" s="7" t="n"/>
      <c r="F4" s="7" t="n"/>
      <c r="G4" s="7" t="n"/>
      <c r="H4" s="7" t="n"/>
      <c r="I4" s="7" t="n"/>
      <c r="J4" s="7" t="inlineStr">
        <is>
          <t>each_distribution</t>
        </is>
      </c>
      <c r="K4" s="7" t="b">
        <v>0</v>
      </c>
      <c r="L4" s="7" t="n"/>
      <c r="M4" s="7" t="n"/>
      <c r="N4" s="7" t="n"/>
      <c r="O4" s="7" t="inlineStr">
        <is>
          <t>Permitted Payments (a)</t>
        </is>
      </c>
      <c r="P4" s="7" t="n"/>
    </row>
    <row r="5">
      <c r="A5" s="7" t="inlineStr">
        <is>
          <t>DC-002</t>
        </is>
      </c>
      <c r="B5" s="7" t="inlineStr">
        <is>
          <t>No Default Continuing</t>
        </is>
      </c>
      <c r="C5" s="7" t="n"/>
      <c r="D5" s="7" t="inlineStr">
        <is>
          <t>distribution_condition</t>
        </is>
      </c>
      <c r="E5" s="7" t="n"/>
      <c r="F5" s="7" t="n"/>
      <c r="G5" s="7" t="n"/>
      <c r="H5" s="7" t="n"/>
      <c r="I5" s="7" t="n"/>
      <c r="J5" s="7" t="inlineStr">
        <is>
          <t>each_distribution</t>
        </is>
      </c>
      <c r="K5" s="7" t="b">
        <v>0</v>
      </c>
      <c r="L5" s="7" t="n"/>
      <c r="M5" s="7" t="n"/>
      <c r="N5" s="7" t="n"/>
      <c r="O5" s="7" t="inlineStr">
        <is>
          <t>Permitted Payments (b)</t>
        </is>
      </c>
      <c r="P5" s="7" t="n"/>
    </row>
    <row r="6">
      <c r="A6" s="7" t="inlineStr">
        <is>
          <t>DC-003</t>
        </is>
      </c>
      <c r="B6" s="7" t="inlineStr">
        <is>
          <t>No RCF Outstanding</t>
        </is>
      </c>
      <c r="C6" s="7" t="n"/>
      <c r="D6" s="7" t="inlineStr">
        <is>
          <t>distribution_condition</t>
        </is>
      </c>
      <c r="E6" s="7" t="n"/>
      <c r="F6" s="7" t="n"/>
      <c r="G6" s="7" t="n"/>
      <c r="H6" s="7" t="n"/>
      <c r="I6" s="7" t="n"/>
      <c r="J6" s="7" t="inlineStr">
        <is>
          <t>each_distribution</t>
        </is>
      </c>
      <c r="K6" s="7" t="b">
        <v>0</v>
      </c>
      <c r="L6" s="7" t="n"/>
      <c r="M6" s="7" t="n"/>
      <c r="N6" s="7" t="n"/>
      <c r="O6" s="7" t="inlineStr">
        <is>
          <t>Permitted Payments (c)</t>
        </is>
      </c>
      <c r="P6" s="7" t="inlineStr">
        <is>
          <t>No amounts under Facility C; must remain undrawn post-distribution</t>
        </is>
      </c>
    </row>
    <row r="7">
      <c r="A7" s="7" t="inlineStr">
        <is>
          <t>DC-004</t>
        </is>
      </c>
      <c r="B7" s="7" t="inlineStr">
        <is>
          <t>DSRA and BSS Reserve Fully Funded</t>
        </is>
      </c>
      <c r="C7" s="7" t="n"/>
      <c r="D7" s="7" t="inlineStr">
        <is>
          <t>distribution_condition</t>
        </is>
      </c>
      <c r="E7" s="7" t="n"/>
      <c r="F7" s="7" t="n"/>
      <c r="G7" s="7" t="n"/>
      <c r="H7" s="7" t="n"/>
      <c r="I7" s="7" t="n"/>
      <c r="J7" s="7" t="inlineStr">
        <is>
          <t>each_distribution</t>
        </is>
      </c>
      <c r="K7" s="7" t="b">
        <v>1</v>
      </c>
      <c r="L7" s="7" t="inlineStr">
        <is>
          <t>Top-up from cashflow</t>
        </is>
      </c>
      <c r="M7" s="7" t="n"/>
      <c r="N7" s="7" t="n"/>
      <c r="O7" s="7" t="inlineStr">
        <is>
          <t>Permitted Payments (d)</t>
        </is>
      </c>
      <c r="P7" s="7" t="n"/>
    </row>
    <row r="8">
      <c r="A8" s="7" t="inlineStr">
        <is>
          <t>DC-005</t>
        </is>
      </c>
      <c r="B8" s="7" t="inlineStr">
        <is>
          <t>Financial Covenant Compliance</t>
        </is>
      </c>
      <c r="C8" s="7" t="n"/>
      <c r="D8" s="7" t="inlineStr">
        <is>
          <t>distribution_condition</t>
        </is>
      </c>
      <c r="E8" s="7" t="n"/>
      <c r="F8" s="7" t="n"/>
      <c r="G8" s="7" t="n"/>
      <c r="H8" s="7" t="n"/>
      <c r="I8" s="7" t="n"/>
      <c r="J8" s="7" t="inlineStr">
        <is>
          <t>semi_annual</t>
        </is>
      </c>
      <c r="K8" s="7" t="b">
        <v>0</v>
      </c>
      <c r="L8" s="7" t="n"/>
      <c r="M8" s="7" t="n"/>
      <c r="N8" s="7" t="n"/>
      <c r="O8" s="7" t="inlineStr">
        <is>
          <t>Permitted Payments (e)(i)</t>
        </is>
      </c>
      <c r="P8" s="7" t="inlineStr">
        <is>
          <t>Compliance with Clause 22 for most recent Calculation Period</t>
        </is>
      </c>
    </row>
    <row r="9">
      <c r="A9" s="7" t="inlineStr">
        <is>
          <t>DC-006</t>
        </is>
      </c>
      <c r="B9" s="7" t="inlineStr">
        <is>
          <t>Senior ICR Distribution Test</t>
        </is>
      </c>
      <c r="C9" s="7" t="n"/>
      <c r="D9" s="7" t="inlineStr">
        <is>
          <t>distribution_condition</t>
        </is>
      </c>
      <c r="E9" s="7" t="inlineStr">
        <is>
          <t>seniorIcr</t>
        </is>
      </c>
      <c r="F9" s="7" t="inlineStr">
        <is>
          <t>min</t>
        </is>
      </c>
      <c r="G9" s="7" t="n">
        <v>1.35</v>
      </c>
      <c r="H9" s="7" t="n"/>
      <c r="I9" s="7" t="inlineStr">
        <is>
          <t>historic_12m</t>
        </is>
      </c>
      <c r="J9" s="7" t="inlineStr">
        <is>
          <t>semi_annual</t>
        </is>
      </c>
      <c r="K9" s="7" t="b">
        <v>0</v>
      </c>
      <c r="L9" s="7" t="n"/>
      <c r="M9" s="7" t="n"/>
      <c r="N9" s="7" t="n"/>
      <c r="O9" s="7" t="inlineStr">
        <is>
          <t>Permitted Payments (e)(ii)</t>
        </is>
      </c>
      <c r="P9" s="7" t="n"/>
    </row>
    <row r="10">
      <c r="A10" s="7" t="inlineStr">
        <is>
          <t>DC-007</t>
        </is>
      </c>
      <c r="B10" s="7" t="inlineStr">
        <is>
          <t>Leverage Distribution Test (stepped)</t>
        </is>
      </c>
      <c r="C10" s="7" t="n"/>
      <c r="D10" s="7" t="inlineStr">
        <is>
          <t>distribution_condition</t>
        </is>
      </c>
      <c r="E10" s="7" t="inlineStr">
        <is>
          <t>netDebtEbitda</t>
        </is>
      </c>
      <c r="F10" s="7" t="inlineStr">
        <is>
          <t>max</t>
        </is>
      </c>
      <c r="G10" s="7" t="n">
        <v>9.5</v>
      </c>
      <c r="H10" s="7" t="inlineStr">
        <is>
          <t>Y1; steps to 7.50x by Y7</t>
        </is>
      </c>
      <c r="I10" s="7" t="n"/>
      <c r="J10" s="7" t="inlineStr">
        <is>
          <t>semi_annual</t>
        </is>
      </c>
      <c r="K10" s="7" t="b">
        <v>0</v>
      </c>
      <c r="L10" s="7" t="n"/>
      <c r="M10" s="7" t="n"/>
      <c r="N10" s="7" t="n"/>
      <c r="O10" s="7" t="inlineStr">
        <is>
          <t>Permitted Payments (e)(iii)</t>
        </is>
      </c>
      <c r="P10" s="7" t="n"/>
    </row>
    <row r="11">
      <c r="A11" s="7" t="inlineStr">
        <is>
          <t>DC-008</t>
        </is>
      </c>
      <c r="B11" s="7" t="inlineStr">
        <is>
          <t>Senior ICR Remedial Plan</t>
        </is>
      </c>
      <c r="C11" s="7" t="n"/>
      <c r="D11" s="7" t="inlineStr">
        <is>
          <t>remedial_plan</t>
        </is>
      </c>
      <c r="E11" s="7" t="inlineStr">
        <is>
          <t>seniorIcr</t>
        </is>
      </c>
      <c r="F11" s="7" t="inlineStr">
        <is>
          <t>min</t>
        </is>
      </c>
      <c r="G11" s="7" t="n">
        <v>1.25</v>
      </c>
      <c r="H11" s="7" t="n"/>
      <c r="I11" s="7" t="inlineStr">
        <is>
          <t>historic_12m</t>
        </is>
      </c>
      <c r="J11" s="7" t="inlineStr">
        <is>
          <t>semi_annual</t>
        </is>
      </c>
      <c r="K11" s="7" t="b">
        <v>1</v>
      </c>
      <c r="L11" s="7" t="inlineStr">
        <is>
          <t>Good-faith consultation; independent expert if unresolved within 10 BD</t>
        </is>
      </c>
      <c r="M11" s="7" t="n"/>
      <c r="N11" s="7" t="n"/>
      <c r="O11" s="7" t="inlineStr">
        <is>
          <t>Cl. 22.4</t>
        </is>
      </c>
      <c r="P11" s="7" t="n"/>
    </row>
    <row r="12">
      <c r="A12" s="7" t="inlineStr">
        <is>
          <t>DC-009</t>
        </is>
      </c>
      <c r="B12" s="7" t="inlineStr">
        <is>
          <t>Excess Cashflow Sweep (Lock-Up Escalation)</t>
        </is>
      </c>
      <c r="C12" s="7" t="n"/>
      <c r="D12" s="7" t="inlineStr">
        <is>
          <t>cash_trap</t>
        </is>
      </c>
      <c r="E12" s="7" t="n"/>
      <c r="F12" s="7" t="n"/>
      <c r="G12" s="7" t="n"/>
      <c r="H12" s="7" t="n"/>
      <c r="I12" s="7" t="n"/>
      <c r="J12" s="7" t="inlineStr">
        <is>
          <t>semi_annual</t>
        </is>
      </c>
      <c r="K12" s="7" t="b">
        <v>0</v>
      </c>
      <c r="L12" s="7" t="n"/>
      <c r="M12" s="7" t="n"/>
      <c r="N12" s="7" t="n"/>
      <c r="O12" s="7" t="inlineStr">
        <is>
          <t>Cl. 9.4(c)(v)</t>
        </is>
      </c>
      <c r="P12" s="7" t="inlineStr">
        <is>
          <t>Triggered after Lock-Up for 3 consecutive Calculation Dates. 100% of Excess Cashflow swept to prepay Facilities A then B.</t>
        </is>
      </c>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2026-04-19T00:54:15Z</dcterms:modified>
</cp:coreProperties>
</file>