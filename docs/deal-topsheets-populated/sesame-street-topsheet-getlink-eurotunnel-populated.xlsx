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eal Identity" sheetId="1" state="visible" r:id="rId1"/>
    <sheet xmlns:r="http://schemas.openxmlformats.org/officeDocument/2006/relationships" name="2. Capital Structure" sheetId="2" state="visible" r:id="rId2"/>
    <sheet xmlns:r="http://schemas.openxmlformats.org/officeDocument/2006/relationships" name="2b. Margin Ratchets" sheetId="3" state="visible" r:id="rId3"/>
    <sheet xmlns:r="http://schemas.openxmlformats.org/officeDocument/2006/relationships" name="3. Reserve Accounts" sheetId="4" state="visible" r:id="rId4"/>
    <sheet xmlns:r="http://schemas.openxmlformats.org/officeDocument/2006/relationships" name="4. Counterparties" sheetId="5" state="visible" r:id="rId5"/>
    <sheet xmlns:r="http://schemas.openxmlformats.org/officeDocument/2006/relationships" name="5. Hedging" sheetId="6" state="visible" r:id="rId6"/>
    <sheet xmlns:r="http://schemas.openxmlformats.org/officeDocument/2006/relationships" name="6. Jurisdictions" sheetId="7" state="visible" r:id="rId7"/>
    <sheet xmlns:r="http://schemas.openxmlformats.org/officeDocument/2006/relationships" name="7. Corporate Entities" sheetId="8" state="visible" r:id="rId8"/>
    <sheet xmlns:r="http://schemas.openxmlformats.org/officeDocument/2006/relationships" name="8. Covenant Thresholds" sheetId="9" state="visible" r:id="rId9"/>
    <sheet xmlns:r="http://schemas.openxmlformats.org/officeDocument/2006/relationships" name="9. KPI Scenario Series" sheetId="10" state="visible" r:id="rId10"/>
    <sheet xmlns:r="http://schemas.openxmlformats.org/officeDocument/2006/relationships" name="10. Financial Template" sheetId="11" state="visible" r:id="rId11"/>
    <sheet xmlns:r="http://schemas.openxmlformats.org/officeDocument/2006/relationships" name="11. Development Phases" sheetId="12" state="visible" r:id="rId12"/>
    <sheet xmlns:r="http://schemas.openxmlformats.org/officeDocument/2006/relationships" name="12. Consent Mechanics" sheetId="13" state="visible" r:id="rId13"/>
    <sheet xmlns:r="http://schemas.openxmlformats.org/officeDocument/2006/relationships" name="Validation" sheetId="14" state="visible" r:id="rId14"/>
    <sheet xmlns:r="http://schemas.openxmlformats.org/officeDocument/2006/relationships" name="13. Holdings" sheetId="15" state="visible" r:id="rId15"/>
    <sheet xmlns:r="http://schemas.openxmlformats.org/officeDocument/2006/relationships" name="13B. Investors" sheetId="16" state="visible" r:id="rId16"/>
    <sheet xmlns:r="http://schemas.openxmlformats.org/officeDocument/2006/relationships" name="13C. Intercreditor" sheetId="17" state="visible" r:id="rId17"/>
    <sheet xmlns:r="http://schemas.openxmlformats.org/officeDocument/2006/relationships" name="13D. Enforcement Classes" sheetId="18" state="visible" r:id="rId18"/>
    <sheet xmlns:r="http://schemas.openxmlformats.org/officeDocument/2006/relationships" name="14. Period Definition" sheetId="19" state="visible" r:id="rId19"/>
    <sheet xmlns:r="http://schemas.openxmlformats.org/officeDocument/2006/relationships" name="15. Management Case" sheetId="20" state="visible" r:id="rId20"/>
    <sheet xmlns:r="http://schemas.openxmlformats.org/officeDocument/2006/relationships" name="16. Credit Case" sheetId="21" state="visible" r:id="rId21"/>
    <sheet xmlns:r="http://schemas.openxmlformats.org/officeDocument/2006/relationships" name="17. Combined Downside" sheetId="22" state="visible" r:id="rId22"/>
    <sheet xmlns:r="http://schemas.openxmlformats.org/officeDocument/2006/relationships" name="18. Actuals" sheetId="23" state="visible" r:id="rId23"/>
    <sheet xmlns:r="http://schemas.openxmlformats.org/officeDocument/2006/relationships" name="19. Key Risks" sheetId="24" state="visible" r:id="rId24"/>
    <sheet xmlns:r="http://schemas.openxmlformats.org/officeDocument/2006/relationships" name="20. Onboarding Snapshot" sheetId="25" state="visible" r:id="rId25"/>
    <sheet xmlns:r="http://schemas.openxmlformats.org/officeDocument/2006/relationships" name="21. Obligations" sheetId="26" state="visible" r:id="rId26"/>
    <sheet xmlns:r="http://schemas.openxmlformats.org/officeDocument/2006/relationships" name="22. Distribution Conditions" sheetId="27" state="visible" r:id="rId27"/>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6FA5"/>
      <sz val="12"/>
    </font>
    <font>
      <name val="Arial"/>
      <i val="1"/>
      <color rgb="00666666"/>
      <sz val="9"/>
    </font>
    <font>
      <name val="Arial"/>
      <b val="1"/>
      <color rgb="00FFFFFF"/>
      <sz val="10"/>
    </font>
    <font>
      <name val="Arial"/>
      <b val="1"/>
      <color rgb="001F6FA5"/>
      <sz val="10"/>
    </font>
    <font>
      <name val="Arial"/>
      <b val="1"/>
      <color rgb="00CC0000"/>
      <sz val="10"/>
    </font>
    <font>
      <name val="Arial"/>
      <color rgb="000000FF"/>
      <sz val="10"/>
    </font>
    <font>
      <name val="Arial"/>
      <sz val="10"/>
    </font>
    <font>
      <name val="Arial"/>
      <i val="1"/>
      <color rgb="00888888"/>
      <sz val="10"/>
    </font>
    <font>
      <name val="Arial"/>
      <b val="1"/>
      <color rgb="00FFFFFF"/>
      <sz val="8"/>
    </font>
    <font>
      <name val="Arial"/>
      <b val="1"/>
      <color rgb="00FFFFFF"/>
      <sz val="9"/>
    </font>
    <font>
      <name val="Arial"/>
      <color rgb="00888888"/>
      <sz val="8"/>
    </font>
    <font>
      <name val="Arial"/>
      <i val="1"/>
      <color rgb="00888888"/>
      <sz val="9"/>
    </font>
    <font>
      <name val="Arial"/>
      <b val="1"/>
      <sz val="9"/>
    </font>
    <font>
      <name val="Arial"/>
      <color rgb="000000FF"/>
      <sz val="9"/>
    </font>
    <font>
      <name val="Arial"/>
      <b val="1"/>
      <sz val="10"/>
    </font>
  </fonts>
  <fills count="8">
    <fill>
      <patternFill/>
    </fill>
    <fill>
      <patternFill patternType="gray125"/>
    </fill>
    <fill>
      <patternFill patternType="solid">
        <fgColor rgb="001F6FA5"/>
      </patternFill>
    </fill>
    <fill>
      <patternFill patternType="solid">
        <fgColor rgb="00D6E4F0"/>
      </patternFill>
    </fill>
    <fill>
      <patternFill patternType="solid">
        <fgColor rgb="00FFFFCC"/>
      </patternFill>
    </fill>
    <fill>
      <patternFill patternType="solid">
        <fgColor rgb="00E8E8E8"/>
      </patternFill>
    </fill>
    <fill>
      <patternFill patternType="solid">
        <fgColor rgb="00F5F5F0"/>
      </patternFill>
    </fill>
    <fill>
      <patternFill patternType="solid">
        <fgColor rgb="00FFFFEE"/>
      </patternFill>
    </fill>
  </fills>
  <borders count="7">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0" fillId="3" borderId="1" pivotButton="0" quotePrefix="0" xfId="0"/>
    <xf numFmtId="0" fontId="5" fillId="0" borderId="1" pivotButton="0" quotePrefix="0" xfId="0"/>
    <xf numFmtId="0" fontId="6" fillId="4" borderId="1" pivotButton="0" quotePrefix="0" xfId="0"/>
    <xf numFmtId="0" fontId="2" fillId="0" borderId="1" applyAlignment="1" pivotButton="0" quotePrefix="0" xfId="0">
      <alignment vertical="top" wrapText="1"/>
    </xf>
    <xf numFmtId="0" fontId="7" fillId="0" borderId="1" pivotButton="0" quotePrefix="0" xfId="0"/>
    <xf numFmtId="0" fontId="8" fillId="5" borderId="1" pivotButton="0" quotePrefix="0" xfId="0"/>
    <xf numFmtId="0" fontId="1" fillId="0" borderId="0" applyAlignment="1" pivotButton="0" quotePrefix="0" xfId="0">
      <alignment wrapText="1"/>
    </xf>
    <xf numFmtId="0" fontId="2" fillId="6" borderId="1" applyAlignment="1" pivotButton="0" quotePrefix="0" xfId="0">
      <alignment vertical="top" wrapText="1"/>
    </xf>
    <xf numFmtId="0" fontId="0" fillId="4" borderId="1" pivotButton="0" quotePrefix="0" xfId="0"/>
    <xf numFmtId="0" fontId="2" fillId="0" borderId="1" pivotButton="0" quotePrefix="0" xfId="0"/>
    <xf numFmtId="0" fontId="3" fillId="2" borderId="2" pivotButton="0" quotePrefix="0" xfId="0"/>
    <xf numFmtId="0" fontId="9" fillId="2" borderId="2" applyAlignment="1" pivotButton="0" quotePrefix="0" xfId="0">
      <alignment horizontal="center"/>
    </xf>
    <xf numFmtId="0" fontId="0" fillId="2" borderId="2" pivotButton="0" quotePrefix="0" xfId="0"/>
    <xf numFmtId="0" fontId="10" fillId="2" borderId="2" pivotButton="0" quotePrefix="0" xfId="0"/>
    <xf numFmtId="0" fontId="11" fillId="0" borderId="2" pivotButton="0" quotePrefix="0" xfId="0"/>
    <xf numFmtId="0" fontId="12" fillId="0" borderId="2" pivotButton="0" quotePrefix="0" xfId="0"/>
    <xf numFmtId="0" fontId="8" fillId="5" borderId="2" pivotButton="0" quotePrefix="0" xfId="0"/>
    <xf numFmtId="0" fontId="13" fillId="0" borderId="2" pivotButton="0" quotePrefix="0" xfId="0"/>
    <xf numFmtId="0" fontId="14" fillId="7" borderId="2" pivotButton="0" quotePrefix="0" xfId="0"/>
    <xf numFmtId="0" fontId="15" fillId="5" borderId="1" pivotButton="0" quotePrefix="0" xfId="0"/>
    <xf numFmtId="0" fontId="3" fillId="2" borderId="1" pivotButton="0" quotePrefix="0" xfId="0"/>
    <xf numFmtId="0" fontId="6" fillId="4" borderId="1" applyAlignment="1" pivotButton="0" quotePrefix="0" xfId="0">
      <alignment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
  <sheetViews>
    <sheetView workbookViewId="0">
      <selection activeCell="A1" sqref="A1"/>
    </sheetView>
  </sheetViews>
  <sheetFormatPr baseColWidth="8" defaultRowHeight="15"/>
  <cols>
    <col width="32" customWidth="1" min="1" max="1"/>
    <col width="40" customWidth="1" min="2" max="2"/>
    <col width="50" customWidth="1" min="3" max="3"/>
  </cols>
  <sheetData>
    <row r="1">
      <c r="A1" s="1" t="inlineStr">
        <is>
          <t>TOPSHEET DATA TEMPLATE v9.0</t>
        </is>
      </c>
    </row>
    <row r="2" ht="25" customHeight="1">
      <c r="A2" s="2" t="inlineStr">
        <is>
          <t>Fill in yellow cells. Required fields marked with *. Grey cells are computed by the system.</t>
        </is>
      </c>
    </row>
    <row r="3">
      <c r="A3" s="3" t="inlineStr">
        <is>
          <t>Field</t>
        </is>
      </c>
      <c r="B3" s="3" t="inlineStr">
        <is>
          <t>Value</t>
        </is>
      </c>
      <c r="C3" s="3" t="inlineStr">
        <is>
          <t>Guidance</t>
        </is>
      </c>
    </row>
    <row r="4">
      <c r="A4" s="4" t="inlineStr">
        <is>
          <t>BORROWER &amp; DEAL IDENTIFICATION</t>
        </is>
      </c>
      <c r="B4" s="27" t="n"/>
      <c r="C4" s="28" t="n"/>
    </row>
    <row r="5">
      <c r="A5" s="6" t="inlineStr">
        <is>
          <t>Investment Name *</t>
        </is>
      </c>
      <c r="B5" s="7" t="inlineStr">
        <is>
          <t>Getlink SE (Eurotunnel Concession)</t>
        </is>
      </c>
      <c r="C5" s="8" t="inlineStr">
        <is>
          <t>Full deal name</t>
        </is>
      </c>
    </row>
    <row r="6">
      <c r="A6" s="6" t="inlineStr">
        <is>
          <t>Borrower Legal Name *</t>
        </is>
      </c>
      <c r="B6" s="7" t="inlineStr">
        <is>
          <t>Getlink SE</t>
        </is>
      </c>
      <c r="C6" s="8" t="inlineStr">
        <is>
          <t>Registered company name</t>
        </is>
      </c>
    </row>
    <row r="7">
      <c r="A7" s="9" t="inlineStr">
        <is>
          <t>Borrower Trading Name</t>
        </is>
      </c>
      <c r="B7" s="7" t="n"/>
      <c r="C7" s="8" t="inlineStr">
        <is>
          <t>If different from legal name</t>
        </is>
      </c>
    </row>
    <row r="8">
      <c r="A8" s="9" t="inlineStr">
        <is>
          <t>Borrower LEI</t>
        </is>
      </c>
      <c r="B8" s="7" t="n"/>
      <c r="C8" s="8" t="inlineStr">
        <is>
          <t>20-character Legal Entity Identifier</t>
        </is>
      </c>
    </row>
    <row r="9">
      <c r="A9" s="6" t="inlineStr">
        <is>
          <t>Borrower Jurisdiction *</t>
        </is>
      </c>
      <c r="B9" s="7" t="inlineStr">
        <is>
          <t>FR</t>
        </is>
      </c>
      <c r="C9" s="8" t="inlineStr">
        <is>
          <t>ISO 2-letter (GB, US, NL)</t>
        </is>
      </c>
    </row>
    <row r="10">
      <c r="A10" s="9" t="inlineStr">
        <is>
          <t>Borrower Registered Address</t>
        </is>
      </c>
      <c r="B10" s="7" t="n"/>
      <c r="C10" s="8" t="inlineStr">
        <is>
          <t>Full address</t>
        </is>
      </c>
    </row>
    <row r="11">
      <c r="A11" s="9" t="inlineStr">
        <is>
          <t>Borrower Registered Number</t>
        </is>
      </c>
      <c r="B11" s="7" t="n"/>
      <c r="C11" s="8" t="inlineStr">
        <is>
          <t>Companies House or equivalent</t>
        </is>
      </c>
    </row>
    <row r="12"/>
    <row r="13">
      <c r="A13" s="4" t="inlineStr">
        <is>
          <t>SECTOR &amp; CLASSIFICATION</t>
        </is>
      </c>
      <c r="B13" s="27" t="n"/>
      <c r="C13" s="28" t="n"/>
    </row>
    <row r="14">
      <c r="A14" s="6" t="inlineStr">
        <is>
          <t>Sector *</t>
        </is>
      </c>
      <c r="B14" s="7" t="inlineStr">
        <is>
          <t>High Speed Rail</t>
        </is>
      </c>
      <c r="C14" s="8" t="inlineStr">
        <is>
          <t>Select from dropdown</t>
        </is>
      </c>
    </row>
    <row r="15">
      <c r="A15" s="9" t="inlineStr">
        <is>
          <t>Sub-Sector</t>
        </is>
      </c>
      <c r="B15" s="7" t="inlineStr">
        <is>
          <t>Channel Tunnel (Rail Concession)</t>
        </is>
      </c>
      <c r="C15" s="8" t="inlineStr">
        <is>
          <t>e.g. Offshore Wind, Hyperscale Colocation</t>
        </is>
      </c>
    </row>
    <row r="16">
      <c r="A16" s="6" t="inlineStr">
        <is>
          <t>Deal Type *</t>
        </is>
      </c>
      <c r="B16" s="7" t="inlineStr">
        <is>
          <t>Infrastructure Debt</t>
        </is>
      </c>
      <c r="C16" s="8" t="inlineStr">
        <is>
          <t>Project Finance, Acquisition Finance, Development Finance</t>
        </is>
      </c>
    </row>
    <row r="17">
      <c r="A17" s="6" t="inlineStr">
        <is>
          <t>Phase *</t>
        </is>
      </c>
      <c r="B17" s="7" t="inlineStr">
        <is>
          <t>operational</t>
        </is>
      </c>
      <c r="C17" s="8" t="inlineStr">
        <is>
          <t>Select from dropdown</t>
        </is>
      </c>
    </row>
    <row r="18">
      <c r="A18" s="9" t="inlineStr">
        <is>
          <t>SIC Code</t>
        </is>
      </c>
      <c r="B18" s="7" t="n"/>
      <c r="C18" s="8" t="inlineStr">
        <is>
          <t>UK SIC 2007 (5 digits)</t>
        </is>
      </c>
    </row>
    <row r="19">
      <c r="A19" s="9" t="inlineStr">
        <is>
          <t>TICCS Classification</t>
        </is>
      </c>
      <c r="B19" s="7" t="n"/>
      <c r="C19" s="8" t="inlineStr">
        <is>
          <t>Infrastructure classification</t>
        </is>
      </c>
    </row>
    <row r="20"/>
    <row r="21">
      <c r="A21" s="4" t="inlineStr">
        <is>
          <t>OWNERSHIP &amp; PARTIES</t>
        </is>
      </c>
      <c r="B21" s="27" t="n"/>
      <c r="C21" s="28" t="n"/>
    </row>
    <row r="22">
      <c r="A22" s="9" t="inlineStr">
        <is>
          <t>Sponsor Name</t>
        </is>
      </c>
      <c r="B22" s="7" t="inlineStr">
        <is>
          <t>Public / Listed</t>
        </is>
      </c>
      <c r="C22" s="8" t="inlineStr">
        <is>
          <t>Lead sponsor / equity investor</t>
        </is>
      </c>
    </row>
    <row r="23">
      <c r="A23" s="9" t="inlineStr">
        <is>
          <t>Sponsor Fund</t>
        </is>
      </c>
      <c r="B23" s="7" t="n"/>
      <c r="C23" s="8" t="inlineStr">
        <is>
          <t>Fund vehicle name</t>
        </is>
      </c>
    </row>
    <row r="24">
      <c r="A24" s="9" t="inlineStr">
        <is>
          <t>Parent Group</t>
        </is>
      </c>
      <c r="B24" s="7" t="inlineStr">
        <is>
          <t>Public (Euronext Paris: GET)</t>
        </is>
      </c>
      <c r="C24" s="8" t="inlineStr">
        <is>
          <t>Ultimate parent</t>
        </is>
      </c>
    </row>
    <row r="25">
      <c r="A25" s="9" t="inlineStr">
        <is>
          <t>Ownership Structure</t>
        </is>
      </c>
      <c r="B25" s="7" t="inlineStr">
        <is>
          <t>Getlink SE is a listed public company on Euronext Paris (ticker GET). Free float is the majority holder. No single sponsor. The Group holds 100% of France Manche SA and The Channel Tunnel Group Limited (the concessionaires), plus Europorte and ElecLink subsidiaries.</t>
        </is>
      </c>
      <c r="C25" s="8" t="inlineStr">
        <is>
          <t>Narrative description</t>
        </is>
      </c>
    </row>
    <row r="26"/>
    <row r="27">
      <c r="A27" s="4" t="inlineStr">
        <is>
          <t>GEOGRAPHY &amp; CURRENCY</t>
        </is>
      </c>
      <c r="B27" s="27" t="n"/>
      <c r="C27" s="28" t="n"/>
    </row>
    <row r="28">
      <c r="A28" s="6" t="inlineStr">
        <is>
          <t>Region *</t>
        </is>
      </c>
      <c r="B28" s="7" t="inlineStr">
        <is>
          <t>EMEA</t>
        </is>
      </c>
      <c r="C28" s="8" t="inlineStr">
        <is>
          <t>Select from dropdown</t>
        </is>
      </c>
    </row>
    <row r="29">
      <c r="A29" s="6" t="inlineStr">
        <is>
          <t>Country *</t>
        </is>
      </c>
      <c r="B29" s="7" t="inlineStr">
        <is>
          <t>FR</t>
        </is>
      </c>
      <c r="C29" s="8" t="inlineStr">
        <is>
          <t>ISO 2-letter (GB, US, DE)</t>
        </is>
      </c>
    </row>
    <row r="30">
      <c r="A30" s="6" t="inlineStr">
        <is>
          <t>Currency *</t>
        </is>
      </c>
      <c r="B30" s="7" t="inlineStr">
        <is>
          <t>EUR</t>
        </is>
      </c>
      <c r="C30" s="8" t="inlineStr">
        <is>
          <t>ISO 3-letter (GBP, USD, EUR)</t>
        </is>
      </c>
    </row>
    <row r="31">
      <c r="A31" s="9" t="inlineStr">
        <is>
          <t>Reporting Currency</t>
        </is>
      </c>
      <c r="B31" s="7" t="n"/>
      <c r="C31" s="8" t="inlineStr">
        <is>
          <t>If different from deal currency</t>
        </is>
      </c>
    </row>
    <row r="32">
      <c r="A32" s="6" t="inlineStr">
        <is>
          <t>Source Magnitude *</t>
        </is>
      </c>
      <c r="B32" s="7" t="inlineStr">
        <is>
          <t>millions</t>
        </is>
      </c>
      <c r="C32" s="8" t="inlineStr">
        <is>
          <t>singles, thousands, or millions — what units are the financial values in Tabs 15-18 entered in? The system stores everything in singles internally.</t>
        </is>
      </c>
    </row>
    <row r="33"/>
    <row r="34">
      <c r="A34" s="4" t="inlineStr">
        <is>
          <t>KEY DATES</t>
        </is>
      </c>
      <c r="B34" s="27" t="n"/>
      <c r="C34" s="28" t="n"/>
    </row>
    <row r="35">
      <c r="A35" s="6" t="inlineStr">
        <is>
          <t>Origination Date *</t>
        </is>
      </c>
      <c r="B35" s="7" t="inlineStr">
        <is>
          <t>2019-01-01</t>
        </is>
      </c>
      <c r="C35" s="8" t="inlineStr">
        <is>
          <t>YYYY-MM-DD</t>
        </is>
      </c>
    </row>
    <row r="36">
      <c r="A36" s="9" t="inlineStr">
        <is>
          <t>Commitment Date</t>
        </is>
      </c>
      <c r="B36" s="7" t="n"/>
      <c r="C36" s="8" t="inlineStr">
        <is>
          <t>YYYY-MM-DD</t>
        </is>
      </c>
    </row>
    <row r="37">
      <c r="A37" s="9" t="inlineStr">
        <is>
          <t>First Drawdown Date</t>
        </is>
      </c>
      <c r="B37" s="7" t="n"/>
      <c r="C37" s="8" t="inlineStr">
        <is>
          <t>YYYY-MM-DD</t>
        </is>
      </c>
    </row>
    <row r="38">
      <c r="A38" s="9" t="inlineStr">
        <is>
          <t>COD Date</t>
        </is>
      </c>
      <c r="B38" s="7" t="n"/>
      <c r="C38" s="8" t="inlineStr">
        <is>
          <t>Commercial Operations Date</t>
        </is>
      </c>
    </row>
    <row r="39">
      <c r="A39" s="6" t="inlineStr">
        <is>
          <t>Maturity Date *</t>
        </is>
      </c>
      <c r="B39" s="7" t="inlineStr">
        <is>
          <t>2050-12-31</t>
        </is>
      </c>
      <c r="C39" s="8" t="inlineStr">
        <is>
          <t>Final debt maturity</t>
        </is>
      </c>
    </row>
    <row r="40">
      <c r="A40" s="9" t="inlineStr">
        <is>
          <t>Weighted Average Life</t>
        </is>
      </c>
      <c r="B40" s="7" t="n"/>
      <c r="C40" s="8" t="inlineStr">
        <is>
          <t>Years (e.g. 7.5)</t>
        </is>
      </c>
    </row>
    <row r="41">
      <c r="A41" s="9" t="inlineStr">
        <is>
          <t>Concession Expiry Date</t>
        </is>
      </c>
      <c r="B41" s="7" t="inlineStr">
        <is>
          <t>2086-12-31</t>
        </is>
      </c>
      <c r="C41" s="8" t="inlineStr">
        <is>
          <t>For concession-based deals</t>
        </is>
      </c>
    </row>
    <row r="42">
      <c r="A42" s="6" t="inlineStr">
        <is>
          <t>Fiscal Year End Month *</t>
        </is>
      </c>
      <c r="B42" s="7" t="n">
        <v>12</v>
      </c>
      <c r="C42" s="8" t="inlineStr">
        <is>
          <t>1-12</t>
        </is>
      </c>
    </row>
    <row r="43">
      <c r="A43" s="9" t="inlineStr">
        <is>
          <t>Reporting Periodicity</t>
        </is>
      </c>
      <c r="B43" s="7" t="n"/>
      <c r="C43" s="8" t="inlineStr">
        <is>
          <t>semi_annual, quarterly, annual</t>
        </is>
      </c>
    </row>
    <row r="44">
      <c r="A44" s="9" t="inlineStr">
        <is>
          <t>Governing Law</t>
        </is>
      </c>
      <c r="B44" s="7" t="inlineStr">
        <is>
          <t>French / English</t>
        </is>
      </c>
      <c r="C44" s="8" t="inlineStr">
        <is>
          <t>English, New York, etc.</t>
        </is>
      </c>
    </row>
    <row r="45"/>
    <row r="46">
      <c r="A46" s="4" t="inlineStr">
        <is>
          <t>SECURITY &amp; RANKING</t>
        </is>
      </c>
      <c r="B46" s="27" t="n"/>
      <c r="C46" s="28" t="n"/>
    </row>
    <row r="47">
      <c r="A47" s="6" t="inlineStr">
        <is>
          <t>Security Ranking *</t>
        </is>
      </c>
      <c r="B47" s="7" t="n"/>
      <c r="C47" s="8" t="inlineStr">
        <is>
          <t>Senior Secured | Senior Secured HoldCo | Senior Secured MajorityHoldCo | Senior Secured MinorityHoldCo | Senior Unsecured | Second Lien | Mezzanine | Subordinated | Subordinated HoldCo | Holdco | Shareholder Loan</t>
        </is>
      </c>
    </row>
    <row r="48">
      <c r="A48" s="9" t="inlineStr">
        <is>
          <t>Security Type</t>
        </is>
      </c>
      <c r="B48" s="7" t="n"/>
      <c r="C48" s="8" t="inlineStr">
        <is>
          <t>Description of security package</t>
        </is>
      </c>
    </row>
    <row r="49">
      <c r="A49" s="9" t="inlineStr">
        <is>
          <t>Security Summary</t>
        </is>
      </c>
      <c r="B49" s="7" t="n"/>
      <c r="C49" s="8" t="inlineStr">
        <is>
          <t>Narrative</t>
        </is>
      </c>
    </row>
    <row r="50"/>
    <row r="51">
      <c r="A51" s="4" t="inlineStr">
        <is>
          <t>REVENUE RISK CLASSIFICATION</t>
        </is>
      </c>
      <c r="B51" s="27" t="n"/>
      <c r="C51" s="28" t="n"/>
    </row>
    <row r="52">
      <c r="A52" s="9" t="inlineStr">
        <is>
          <t>Revenue Risk Code</t>
        </is>
      </c>
      <c r="B52" s="7" t="inlineStr">
        <is>
          <t>P3-V4-D5</t>
        </is>
      </c>
      <c r="C52" s="8" t="inlineStr">
        <is>
          <t>e.g. P2-V4-D2</t>
        </is>
      </c>
    </row>
    <row r="53">
      <c r="A53" s="9" t="inlineStr">
        <is>
          <t>Pricing Mechanism</t>
        </is>
      </c>
      <c r="B53" s="7" t="n"/>
      <c r="C53" s="8" t="inlineStr">
        <is>
          <t>P1 (fixed) to P6 (hybrid)</t>
        </is>
      </c>
    </row>
    <row r="54">
      <c r="A54" s="9" t="inlineStr">
        <is>
          <t>Volume Mechanism</t>
        </is>
      </c>
      <c r="B54" s="7" t="n"/>
      <c r="C54" s="8" t="inlineStr">
        <is>
          <t>V1 (guaranteed) to V6 (speculative)</t>
        </is>
      </c>
    </row>
    <row r="55">
      <c r="A55" s="9" t="inlineStr">
        <is>
          <t>Duration Category</t>
        </is>
      </c>
      <c r="B55" s="7" t="n"/>
      <c r="C55" s="8" t="inlineStr">
        <is>
          <t>D1 (matched) to D5 (merchant)</t>
        </is>
      </c>
    </row>
    <row r="56">
      <c r="A56" s="9" t="inlineStr">
        <is>
          <t>Revenue Risk Level</t>
        </is>
      </c>
      <c r="B56" s="7" t="n"/>
      <c r="C56" s="8" t="inlineStr">
        <is>
          <t>Select from dropdown</t>
        </is>
      </c>
    </row>
    <row r="57">
      <c r="A57" s="9" t="inlineStr">
        <is>
          <t>Contracted Revenue %</t>
        </is>
      </c>
      <c r="B57" s="7" t="n">
        <v>0</v>
      </c>
      <c r="C57" s="8" t="inlineStr">
        <is>
          <t>0-100</t>
        </is>
      </c>
    </row>
    <row r="58">
      <c r="A58" s="9" t="inlineStr">
        <is>
          <t>Merchant Revenue %</t>
        </is>
      </c>
      <c r="B58" s="7" t="n">
        <v>100</v>
      </c>
      <c r="C58" s="8" t="inlineStr">
        <is>
          <t>0-100 (should sum to 100 with contracted)</t>
        </is>
      </c>
    </row>
    <row r="59">
      <c r="A59" s="9" t="inlineStr">
        <is>
          <t>Primary Contract Expiry</t>
        </is>
      </c>
      <c r="B59" s="7" t="n"/>
      <c r="C59" s="8" t="inlineStr">
        <is>
          <t>YYYY-MM-DD</t>
        </is>
      </c>
    </row>
    <row r="60">
      <c r="A60" s="9" t="inlineStr">
        <is>
          <t>Duration Coverage %</t>
        </is>
      </c>
      <c r="B60" s="7" t="n"/>
      <c r="C60" s="8" t="inlineStr">
        <is>
          <t>Contract life / debt term x 100</t>
        </is>
      </c>
    </row>
    <row r="61"/>
    <row r="62">
      <c r="A62" s="4" t="inlineStr">
        <is>
          <t>TAIL CONSTRUCT (gap between anchor and debt maturity)</t>
        </is>
      </c>
      <c r="B62" s="27" t="n"/>
      <c r="C62" s="28" t="n"/>
    </row>
    <row r="63">
      <c r="A63" s="6" t="inlineStr">
        <is>
          <t>Tail Anchor Type *</t>
        </is>
      </c>
      <c r="B63" s="7" t="inlineStr">
        <is>
          <t>concession</t>
        </is>
      </c>
      <c r="C63" s="8" t="inlineStr">
        <is>
          <t>concession | primary_contract | asset_life</t>
        </is>
      </c>
    </row>
    <row r="64">
      <c r="A64" s="9" t="inlineStr">
        <is>
          <t>Tail Anchor Date</t>
        </is>
      </c>
      <c r="B64" s="7" t="inlineStr">
        <is>
          <t>2086-12-31</t>
        </is>
      </c>
      <c r="C64" s="8" t="inlineStr">
        <is>
          <t>End of concession OR end of primary revenue contract (YYYY-MM-DD)</t>
        </is>
      </c>
    </row>
    <row r="65">
      <c r="A65" s="9" t="inlineStr">
        <is>
          <t>Tail Anchor Label</t>
        </is>
      </c>
      <c r="B65" s="7" t="inlineStr">
        <is>
          <t>Eurotunnel Concession Agreement (1986 extended to 99 years, expiring 2086)</t>
        </is>
      </c>
      <c r="C65" s="8" t="inlineStr">
        <is>
          <t>e.g. M6 Toll Concession expiry; Wigmore Solar PPA end</t>
        </is>
      </c>
    </row>
    <row r="66">
      <c r="A66" s="6" t="inlineStr">
        <is>
          <t>Residual Value Treatment *</t>
        </is>
      </c>
      <c r="B66" s="7" t="n"/>
      <c r="C66" s="8" t="inlineStr">
        <is>
          <t>zero_residual | nominal_residual | retained_asset</t>
        </is>
      </c>
    </row>
    <row r="67">
      <c r="A67" s="9" t="inlineStr">
        <is>
          <t>Tail Notes</t>
        </is>
      </c>
      <c r="B67" s="7" t="inlineStr">
        <is>
          <t>Asset reverts to the UK and French governments at concession end in 2086 for zero consideration. Debt must be fully repaid before concession expiry. Substantial positive tail (~36 years) from the 2050 Term Loan maturity to the 2086 concession end.</t>
        </is>
      </c>
      <c r="C67" s="8" t="inlineStr">
        <is>
          <t>Narrative describing the tail position and any mitigants</t>
        </is>
      </c>
    </row>
    <row r="68"/>
    <row r="69">
      <c r="A69" s="4" t="inlineStr">
        <is>
          <t>CONTRACT &amp; CONCESSION RENEWAL</t>
        </is>
      </c>
      <c r="B69" s="27" t="n"/>
      <c r="C69" s="28" t="n"/>
    </row>
    <row r="70">
      <c r="A70" s="6" t="inlineStr">
        <is>
          <t>Renewal Profile *</t>
        </is>
      </c>
      <c r="B70" s="7" t="inlineStr">
        <is>
          <t>hand_back_zero_value</t>
        </is>
      </c>
      <c r="C70" s="8" t="inlineStr">
        <is>
          <t>deep_market_repricing | bilateral_negotiation | competitive_tender_asset_retained | competitive_tender_clean_sheet | hand_back_zero_value | no_anchor_contract</t>
        </is>
      </c>
    </row>
    <row r="71">
      <c r="A71" s="9" t="inlineStr">
        <is>
          <t>Debt Repayment From Renewal %</t>
        </is>
      </c>
      <c r="B71" s="7" t="n">
        <v>0</v>
      </c>
      <c r="C71" s="8" t="inlineStr">
        <is>
          <t>% of debt principal scheduled to be repaid from post-renewal cashflows. Should be 0 for hand_back_zero_value and competitive_tender_clean_sheet.</t>
        </is>
      </c>
    </row>
    <row r="72">
      <c r="A72" s="9" t="inlineStr">
        <is>
          <t>Renewal Notes</t>
        </is>
      </c>
      <c r="B72" s="7" t="inlineStr">
        <is>
          <t>Concession-based revenue model with hand-back at zero value. Debt is fully amortised within the concession life and has no reliance on post-2086 cashflows. The Group has diversified into ElecLink and Europorte to provide additional cashflow streams, but these are separate businesses with their own economics and do not change the Eurotunnel concession structure.</t>
        </is>
      </c>
      <c r="C72" s="8" t="inlineStr">
        <is>
          <t>Narrative explaining the renewal assumptions and any mitigants</t>
        </is>
      </c>
    </row>
    <row r="73"/>
    <row r="74">
      <c r="A74" s="4" t="inlineStr">
        <is>
          <t>RATINGS</t>
        </is>
      </c>
      <c r="B74" s="27" t="n"/>
      <c r="C74" s="28" t="n"/>
    </row>
    <row r="75">
      <c r="A75" s="9" t="inlineStr">
        <is>
          <t>Moody's Rating</t>
        </is>
      </c>
      <c r="B75" s="7" t="inlineStr">
        <is>
          <t>Baa2</t>
        </is>
      </c>
      <c r="C75" s="8" t="inlineStr">
        <is>
          <t>e.g. Baa2, Ba1, or n/a</t>
        </is>
      </c>
    </row>
    <row r="76">
      <c r="A76" s="9" t="inlineStr">
        <is>
          <t>Moody's Outlook</t>
        </is>
      </c>
      <c r="B76" s="7" t="inlineStr">
        <is>
          <t>Stable</t>
        </is>
      </c>
      <c r="C76" s="8" t="inlineStr">
        <is>
          <t>stable, positive, negative</t>
        </is>
      </c>
    </row>
    <row r="77">
      <c r="A77" s="9" t="inlineStr">
        <is>
          <t>S&amp;P Rating</t>
        </is>
      </c>
      <c r="B77" s="7" t="inlineStr">
        <is>
          <t>BBB</t>
        </is>
      </c>
      <c r="C77" s="8" t="inlineStr">
        <is>
          <t>e.g. BBB, BB+, or n/a</t>
        </is>
      </c>
    </row>
    <row r="78">
      <c r="A78" s="9" t="inlineStr">
        <is>
          <t>S&amp;P Outlook</t>
        </is>
      </c>
      <c r="B78" s="7" t="inlineStr">
        <is>
          <t>Stable</t>
        </is>
      </c>
      <c r="C78" s="8" t="inlineStr">
        <is>
          <t>stable, positive, negative</t>
        </is>
      </c>
    </row>
    <row r="79">
      <c r="A79" s="9" t="inlineStr">
        <is>
          <t>Fitch Rating</t>
        </is>
      </c>
      <c r="B79" s="7" t="inlineStr">
        <is>
          <t>BBB</t>
        </is>
      </c>
      <c r="C79" s="8" t="inlineStr">
        <is>
          <t>e.g. BBB, or n/a</t>
        </is>
      </c>
    </row>
    <row r="80">
      <c r="A80" s="9" t="inlineStr">
        <is>
          <t>Fitch Outlook</t>
        </is>
      </c>
      <c r="B80" s="7" t="inlineStr">
        <is>
          <t>Stable</t>
        </is>
      </c>
      <c r="C80" s="8" t="inlineStr">
        <is>
          <t>stable, positive, negative</t>
        </is>
      </c>
    </row>
    <row r="81">
      <c r="A81" s="6" t="inlineStr">
        <is>
          <t>Internal Credit Score *</t>
        </is>
      </c>
      <c r="B81" s="7" t="inlineStr">
        <is>
          <t>Baa2</t>
        </is>
      </c>
      <c r="C81" s="8" t="inlineStr">
        <is>
          <t>Required if no external rating</t>
        </is>
      </c>
    </row>
    <row r="82"/>
    <row r="83">
      <c r="A83" s="4" t="inlineStr">
        <is>
          <t>VALUATION &amp; EQUITY</t>
        </is>
      </c>
      <c r="B83" s="27" t="n"/>
      <c r="C83" s="28" t="n"/>
    </row>
    <row r="84">
      <c r="A84" s="6" t="inlineStr">
        <is>
          <t>Enterprise Value *</t>
        </is>
      </c>
      <c r="B84" s="7" t="n">
        <v>11034000000</v>
      </c>
      <c r="C84" s="8" t="inlineStr">
        <is>
          <t>Anchor for the capital stack. Single most important field — every LTV and equity cushion is derived from this.</t>
        </is>
      </c>
    </row>
    <row r="85">
      <c r="A85" s="6" t="inlineStr">
        <is>
          <t>Valuation Date *</t>
        </is>
      </c>
      <c r="B85" s="7" t="inlineStr">
        <is>
          <t>2026-04-14</t>
        </is>
      </c>
      <c r="C85" s="8" t="inlineStr">
        <is>
          <t>When the EV was struck (YYYY-MM-DD). Stale dates (&gt;12 months) will be flagged in the stack validation.</t>
        </is>
      </c>
    </row>
    <row r="86">
      <c r="A86" s="6" t="inlineStr">
        <is>
          <t>Valuation Method *</t>
        </is>
      </c>
      <c r="B86" s="7" t="inlineStr">
        <is>
          <t>mark_to_model</t>
        </is>
      </c>
      <c r="C86" s="8" t="inlineStr">
        <is>
          <t>transaction | dcf | multiples | appraisal | mark_to_model | book</t>
        </is>
      </c>
    </row>
    <row r="87">
      <c r="A87" s="9" t="inlineStr">
        <is>
          <t>Valuation Entity</t>
        </is>
      </c>
      <c r="B87" s="7" t="inlineStr">
        <is>
          <t>Getlink SE (Eurotunnel Concession)</t>
        </is>
      </c>
      <c r="C87" s="8" t="inlineStr">
        <is>
          <t>Entity in Tab 7 the EV is measured at (usually OpCo). Drives which entity the stack is anchored to.</t>
        </is>
      </c>
    </row>
    <row r="88">
      <c r="A88" s="9" t="inlineStr">
        <is>
          <t>Equity Invested at Origination</t>
        </is>
      </c>
      <c r="B88" s="7" t="n"/>
      <c r="C88" s="8" t="inlineStr">
        <is>
          <t>Initial sponsor equity cheque. Optional but recommended — used for IRR/MOIC tracking and performance attribution.</t>
        </is>
      </c>
    </row>
    <row r="89"/>
    <row r="90">
      <c r="A90" s="4" t="inlineStr">
        <is>
          <t>FACILITY ECONOMICS</t>
        </is>
      </c>
      <c r="B90" s="27" t="n"/>
      <c r="C90" s="28" t="n"/>
    </row>
    <row r="91">
      <c r="A91" s="6" t="inlineStr">
        <is>
          <t>Total Facility Size *</t>
        </is>
      </c>
      <c r="B91" s="7" t="n">
        <v>5517000000</v>
      </c>
      <c r="C91" s="8" t="inlineStr">
        <is>
          <t>Total committed across all tranches</t>
        </is>
      </c>
    </row>
    <row r="92">
      <c r="A92" s="6" t="inlineStr">
        <is>
          <t>Our Exposure *</t>
        </is>
      </c>
      <c r="B92" s="7" t="n">
        <v>50000000</v>
      </c>
      <c r="C92" s="8" t="inlineStr">
        <is>
          <t>Our current holding amount</t>
        </is>
      </c>
    </row>
    <row r="93">
      <c r="A93" s="9" t="inlineStr">
        <is>
          <t>Our Holding %</t>
        </is>
      </c>
      <c r="B93" s="7" t="n"/>
      <c r="C93" s="8" t="inlineStr">
        <is>
          <t>Percentage</t>
        </is>
      </c>
    </row>
    <row r="94">
      <c r="A94" s="9" t="inlineStr">
        <is>
          <t>Pricing Type</t>
        </is>
      </c>
      <c r="B94" s="7" t="n"/>
      <c r="C94" s="8" t="inlineStr">
        <is>
          <t>fixed, floating, index_linked</t>
        </is>
      </c>
    </row>
    <row r="95">
      <c r="A95" s="9" t="inlineStr">
        <is>
          <t>Pricing Margin (bps)</t>
        </is>
      </c>
      <c r="B95" s="7" t="n"/>
      <c r="C95" s="8" t="inlineStr">
        <is>
          <t>Spread over reference rate</t>
        </is>
      </c>
    </row>
    <row r="96">
      <c r="A96" s="9" t="inlineStr">
        <is>
          <t>Reference Rate</t>
        </is>
      </c>
      <c r="B96" s="7" t="n"/>
      <c r="C96" s="8" t="inlineStr">
        <is>
          <t>SONIA, SOFR, Euribor, GILT</t>
        </is>
      </c>
    </row>
    <row r="97">
      <c r="A97" s="9" t="inlineStr">
        <is>
          <t>Facility Agent</t>
        </is>
      </c>
      <c r="B97" s="7" t="n"/>
      <c r="C97" s="8" t="inlineStr"/>
    </row>
    <row r="98">
      <c r="A98" s="9" t="inlineStr">
        <is>
          <t>Security Trustee</t>
        </is>
      </c>
      <c r="B98" s="7" t="n"/>
      <c r="C98" s="8" t="inlineStr"/>
    </row>
    <row r="99"/>
    <row r="100">
      <c r="A100" s="4" t="inlineStr">
        <is>
          <t>CHANGE OF CONTROL</t>
        </is>
      </c>
      <c r="B100" s="27" t="n"/>
      <c r="C100" s="28" t="n"/>
    </row>
    <row r="101">
      <c r="A101" s="9" t="inlineStr">
        <is>
          <t>CoC Regime Exists</t>
        </is>
      </c>
      <c r="B101" s="7" t="b">
        <v>0</v>
      </c>
      <c r="C101" s="8" t="inlineStr">
        <is>
          <t>Yes/No</t>
        </is>
      </c>
    </row>
    <row r="102">
      <c r="A102" s="9" t="inlineStr">
        <is>
          <t>CoC Definition</t>
        </is>
      </c>
      <c r="B102" s="7" t="n"/>
      <c r="C102" s="8" t="inlineStr">
        <is>
          <t>How is 'control' defined?</t>
        </is>
      </c>
    </row>
    <row r="103">
      <c r="A103" s="9" t="inlineStr">
        <is>
          <t>CoC Consequence</t>
        </is>
      </c>
      <c r="B103" s="7" t="n"/>
      <c r="C103" s="8" t="inlineStr">
        <is>
          <t>Mandatory prepayment, EoD, consent required</t>
        </is>
      </c>
    </row>
    <row r="104">
      <c r="A104" s="9" t="inlineStr">
        <is>
          <t>CoC Prepayment Basis</t>
        </is>
      </c>
      <c r="B104" s="7" t="n"/>
      <c r="C104" s="8" t="inlineStr">
        <is>
          <t>par, make_whole, market_value</t>
        </is>
      </c>
    </row>
    <row r="105"/>
    <row r="106">
      <c r="A106" s="4" t="inlineStr">
        <is>
          <t>EQUITY CURE &amp; MODEL</t>
        </is>
      </c>
      <c r="B106" s="27" t="n"/>
      <c r="C106" s="28" t="n"/>
    </row>
    <row r="107">
      <c r="A107" s="9" t="inlineStr">
        <is>
          <t>Equity Cure Available</t>
        </is>
      </c>
      <c r="B107" s="7" t="b">
        <v>0</v>
      </c>
      <c r="C107" s="8" t="inlineStr">
        <is>
          <t>Yes/No</t>
        </is>
      </c>
    </row>
    <row r="108">
      <c r="A108" s="9" t="inlineStr">
        <is>
          <t>Equity Cure Regime</t>
        </is>
      </c>
      <c r="B108" s="7" t="n"/>
      <c r="C108" s="8" t="inlineStr">
        <is>
          <t>Max frequency, amount limits, mechanism</t>
        </is>
      </c>
    </row>
    <row r="109">
      <c r="A109" s="9" t="inlineStr">
        <is>
          <t>Model Version</t>
        </is>
      </c>
      <c r="B109" s="7" t="n"/>
      <c r="C109" s="8" t="inlineStr">
        <is>
          <t>e.g. v3.2</t>
        </is>
      </c>
    </row>
    <row r="110">
      <c r="A110" s="9" t="inlineStr">
        <is>
          <t>Model Date</t>
        </is>
      </c>
      <c r="B110" s="7" t="n"/>
      <c r="C110" s="8" t="inlineStr">
        <is>
          <t>YYYY-MM-DD</t>
        </is>
      </c>
    </row>
    <row r="111"/>
    <row r="112">
      <c r="A112" s="4" t="inlineStr">
        <is>
          <t>DISTRIBUTION MECHANICS</t>
        </is>
      </c>
      <c r="B112" s="27" t="n"/>
      <c r="C112" s="28" t="n"/>
    </row>
    <row r="113">
      <c r="A113" s="9" t="inlineStr">
        <is>
          <t>Distribution Frequency</t>
        </is>
      </c>
      <c r="B113" s="7" t="n"/>
      <c r="C113" s="8" t="inlineStr">
        <is>
          <t>semi_annual, quarterly, annual</t>
        </is>
      </c>
    </row>
    <row r="114">
      <c r="A114" s="9" t="inlineStr">
        <is>
          <t>Distribution Calculation Basis</t>
        </is>
      </c>
      <c r="B114" s="7" t="n"/>
      <c r="C114" s="8" t="inlineStr">
        <is>
          <t>e.g. cashflow_available_for_distribution, net_cashflow, free_cashflow_after_sweep</t>
        </is>
      </c>
    </row>
    <row r="115">
      <c r="A115" s="9" t="inlineStr">
        <is>
          <t>Distribution Waterfall Position</t>
        </is>
      </c>
      <c r="B115" s="7" t="n"/>
      <c r="C115" s="8" t="inlineStr">
        <is>
          <t>Integer: position in cashflow waterfall (e.g. 12 = 12th priority)</t>
        </is>
      </c>
    </row>
    <row r="116">
      <c r="A116" s="9" t="inlineStr">
        <is>
          <t>Sweep Before Distribution</t>
        </is>
      </c>
      <c r="B116" s="7" t="n"/>
      <c r="C116" s="8" t="inlineStr">
        <is>
          <t>Yes/No — is a mandatory cash sweep applied before distribution test?</t>
        </is>
      </c>
    </row>
    <row r="117">
      <c r="A117" s="9" t="inlineStr">
        <is>
          <t>Sweep Included in DSCR</t>
        </is>
      </c>
      <c r="B117" s="7" t="n"/>
      <c r="C117" s="8" t="inlineStr">
        <is>
          <t>Yes/No — is the cash sweep included in the DSCR calculation?</t>
        </is>
      </c>
    </row>
    <row r="118">
      <c r="A118" s="9" t="inlineStr">
        <is>
          <t>Trapped Cash Mechanism</t>
        </is>
      </c>
      <c r="B118" s="7" t="n"/>
      <c r="C118" s="8" t="inlineStr">
        <is>
          <t>retained_in_proceeds_account | held_in_lockup_account | swept_to_debt | released_after_cure | swept_then_released</t>
        </is>
      </c>
    </row>
    <row r="119">
      <c r="A119" s="9" t="inlineStr">
        <is>
          <t>Trapped Cash Release Conditions</t>
        </is>
      </c>
      <c r="B119" s="7" t="n"/>
      <c r="C119" s="8" t="inlineStr">
        <is>
          <t>Narrative: e.g. released after 2 successive Calculation Dates where all conditions satisfied</t>
        </is>
      </c>
    </row>
    <row r="120">
      <c r="A120" s="9" t="inlineStr">
        <is>
          <t>Lock-Up Cure Window (days)</t>
        </is>
      </c>
      <c r="B120" s="7" t="n"/>
      <c r="C120" s="8" t="inlineStr">
        <is>
          <t>Integer: days after Calculation Date to cure (e.g. 90, 45)</t>
        </is>
      </c>
    </row>
    <row r="121">
      <c r="A121" s="9" t="inlineStr">
        <is>
          <t>Lock-Up Escalation Periods</t>
        </is>
      </c>
      <c r="B121" s="7" t="n"/>
      <c r="C121" s="8" t="inlineStr">
        <is>
          <t>Integer: consecutive lock-up periods before escalation (e.g. 3)</t>
        </is>
      </c>
    </row>
    <row r="122">
      <c r="A122" s="9" t="inlineStr">
        <is>
          <t>Lock-Up Escalation Consequence</t>
        </is>
      </c>
      <c r="B122" s="7" t="n"/>
      <c r="C122" s="8" t="inlineStr">
        <is>
          <t>excess_cashflow_sweep | mandatory_prepayment | creditor_step_in</t>
        </is>
      </c>
    </row>
    <row r="123"/>
    <row r="124">
      <c r="A124" s="4" t="inlineStr">
        <is>
          <t>MONITORING</t>
        </is>
      </c>
      <c r="B124" s="27" t="n"/>
      <c r="C124" s="28" t="n"/>
    </row>
    <row r="125">
      <c r="A125" s="9" t="inlineStr">
        <is>
          <t>Assigned HAM</t>
        </is>
      </c>
      <c r="B125" s="7" t="n"/>
      <c r="C125" s="8" t="inlineStr">
        <is>
          <t>Human Asset Manager</t>
        </is>
      </c>
    </row>
    <row r="126">
      <c r="A126" s="9" t="inlineStr">
        <is>
          <t>Assigned PM</t>
        </is>
      </c>
      <c r="B126" s="7" t="n"/>
      <c r="C126" s="8" t="inlineStr">
        <is>
          <t>Portfolio Manager</t>
        </is>
      </c>
    </row>
    <row r="127">
      <c r="A127" s="9" t="inlineStr">
        <is>
          <t>Performance Grade</t>
        </is>
      </c>
      <c r="B127" s="10" t="inlineStr">
        <is>
          <t>2 - In Line</t>
        </is>
      </c>
      <c r="C127" s="8" t="inlineStr">
        <is>
          <t>Computed by grade engine (1-4)</t>
        </is>
      </c>
    </row>
    <row r="128">
      <c r="A128" s="9" t="inlineStr">
        <is>
          <t>Watchlist</t>
        </is>
      </c>
      <c r="B128" s="10" t="b">
        <v>0</v>
      </c>
      <c r="C128" s="8" t="inlineStr">
        <is>
          <t>Computed by grade engine</t>
        </is>
      </c>
    </row>
    <row r="129">
      <c r="A129" s="9" t="inlineStr">
        <is>
          <t>Trend</t>
        </is>
      </c>
      <c r="B129" s="10" t="inlineStr">
        <is>
          <t>deteriorating</t>
        </is>
      </c>
      <c r="C129" s="8" t="inlineStr">
        <is>
          <t>Computed from 3-period erosion</t>
        </is>
      </c>
    </row>
    <row r="130">
      <c r="A130" s="9" t="inlineStr">
        <is>
          <t>Headroom %</t>
        </is>
      </c>
      <c r="B130" s="10" t="inlineStr">
        <is>
          <t>(computed)</t>
        </is>
      </c>
      <c r="C130" s="8" t="inlineStr">
        <is>
          <t>Computed: (actual-default)/(mgmt-default) x 100</t>
        </is>
      </c>
    </row>
    <row r="131"/>
    <row r="132"/>
    <row r="133"/>
    <row r="134"/>
    <row r="135"/>
    <row r="136"/>
    <row r="137"/>
    <row r="138"/>
    <row r="139"/>
    <row r="140"/>
  </sheetData>
  <mergeCells count="18">
    <mergeCell ref="A112:C112"/>
    <mergeCell ref="A90:C90"/>
    <mergeCell ref="A13:C13"/>
    <mergeCell ref="A1:C1"/>
    <mergeCell ref="A46:C46"/>
    <mergeCell ref="A74:C74"/>
    <mergeCell ref="A69:C69"/>
    <mergeCell ref="A27:C27"/>
    <mergeCell ref="A62:C62"/>
    <mergeCell ref="A100:C100"/>
    <mergeCell ref="A21:C21"/>
    <mergeCell ref="A34:C34"/>
    <mergeCell ref="A83:C83"/>
    <mergeCell ref="A106:C106"/>
    <mergeCell ref="A4:C4"/>
    <mergeCell ref="A124:C124"/>
    <mergeCell ref="A2:C2"/>
    <mergeCell ref="A51:C51"/>
  </mergeCells>
  <dataValidations count="12">
    <dataValidation sqref="B14" showDropDown="0" showInputMessage="0" showErrorMessage="0" allowBlank="0" type="list">
      <formula1>"Wind Farm,Data Center,Port,Airport,Toll Road,Social Infrastructure,Real Estate,Clean Tech Hub,Solar"</formula1>
    </dataValidation>
    <dataValidation sqref="B17" showDropDown="0" showInputMessage="0" showErrorMessage="0" allowBlank="0" type="list">
      <formula1>"construction,ramp_up,operational,refinancing"</formula1>
    </dataValidation>
    <dataValidation sqref="B28" showDropDown="0" showInputMessage="0" showErrorMessage="0" allowBlank="0" type="list">
      <formula1>"EMEA,North America,APAC,LATAM,Middle East Africa"</formula1>
    </dataValidation>
    <dataValidation sqref="B47" showDropDown="0" showInputMessage="0" showErrorMessage="0" allowBlank="0" type="list">
      <formula1>"Senior Secured,Senior Secured HoldCo,Senior Secured MajorityHoldCo,Senior Secured MinorityHoldCo,Senior Unsecured,Second Lien,Mezzanine,Subordinated,Subordinated HoldCo,Holdco,Majority Holdco,Minority Holdco,Shareholder Loan"</formula1>
    </dataValidation>
    <dataValidation sqref="B56" showDropDown="0" showInputMessage="0" showErrorMessage="0" allowBlank="0" type="list">
      <formula1>"very_low,low,moderate,high,very_high"</formula1>
    </dataValidation>
    <dataValidation sqref="B86" showDropDown="0" showInputMessage="0" showErrorMessage="0" allowBlank="0" type="list">
      <formula1>"transaction,dcf,multiples,appraisal,mark_to_model,book"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3" showDropDown="0" showInputMessage="0" showErrorMessage="0" allowBlank="0" type="list">
      <formula1>"semi_annual,quarterly,annual"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8" showDropDown="0" showInputMessage="0" showErrorMessage="0" allowBlank="0" type="list">
      <formula1>"retained_in_proceeds_account,held_in_lockup_account,swept_to_debt,released_after_cure,swept_then_released"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pane ySplit="3" topLeftCell="A4" activePane="bottomLeft" state="frozen"/>
      <selection pane="bottomLeft" activeCell="A1" sqref="A1"/>
    </sheetView>
  </sheetViews>
  <sheetFormatPr baseColWidth="8" defaultRowHeight="15"/>
  <cols>
    <col width="17" customWidth="1" min="1" max="1"/>
    <col width="14" customWidth="1" min="2" max="2"/>
    <col width="14" customWidth="1" min="3" max="3"/>
    <col width="18" customWidth="1" min="4" max="4"/>
    <col width="18" customWidth="1" min="5" max="5"/>
    <col width="18" customWidth="1" min="6" max="6"/>
    <col width="14" customWidth="1" min="7" max="7"/>
    <col width="14" customWidth="1" min="8" max="8"/>
    <col width="14" customWidth="1" min="9" max="9"/>
    <col width="14" customWidth="1" min="10" max="10"/>
    <col width="15" customWidth="1" min="11" max="11"/>
    <col width="15" customWidth="1" min="12" max="12"/>
    <col width="16" customWidth="1" min="13" max="13"/>
    <col width="20" customWidth="1" min="14" max="14"/>
    <col width="15" customWidth="1" min="15" max="15"/>
    <col width="14" customWidth="1" min="16" max="16"/>
    <col width="14" customWidth="1" min="17" max="17"/>
    <col width="18" customWidth="1" min="18" max="18"/>
    <col width="22" customWidth="1" min="19" max="19"/>
    <col width="12" customWidth="1" min="20" max="20"/>
    <col width="14" customWidth="1" min="21" max="21"/>
    <col width="28" customWidth="1" min="22" max="22"/>
    <col width="22" customWidth="1" min="23" max="23"/>
    <col width="12" customWidth="1" min="24" max="24"/>
    <col width="14" customWidth="1" min="25" max="25"/>
    <col width="22" customWidth="1" min="26" max="26"/>
    <col width="14" customWidth="1" min="27" max="27"/>
    <col width="14" customWidth="1" min="28" max="28"/>
    <col width="29" customWidth="1" min="29" max="29"/>
    <col width="14" customWidth="1" min="30" max="30"/>
    <col width="24" customWidth="1" min="31" max="31"/>
    <col width="19" customWidth="1" min="32" max="32"/>
    <col width="19" customWidth="1" min="33" max="33"/>
    <col width="30" customWidth="1" min="34" max="34"/>
  </cols>
  <sheetData>
    <row r="1">
      <c r="A1" s="11" t="inlineStr">
        <is>
          <t>CAPITAL STRUCTURE INSTRUMENTS — One row per debt instrument. Cols R–Y capture the entity level and priority-of-claim ranking used by the consolidation and ratio engines. Cols Z–AA (v9) capture shareholder-level pledges for the capital stack engine. Cols AB–AH (v9) capture the instrument economics (coupon, base rate, spread, benchmark, fees). Time-varying / ESG ratchets live in Tab 2b.</t>
        </is>
      </c>
    </row>
    <row r="2">
      <c r="A2" s="3" t="inlineStr">
        <is>
          <t>Instrument Name</t>
        </is>
      </c>
      <c r="B2" s="3" t="inlineStr">
        <is>
          <t>Type</t>
        </is>
      </c>
      <c r="C2" s="3" t="inlineStr">
        <is>
          <t>Format</t>
        </is>
      </c>
      <c r="D2" s="3" t="inlineStr">
        <is>
          <t>Security Ranking</t>
        </is>
      </c>
      <c r="E2" s="3" t="inlineStr">
        <is>
          <t>Pari-Passu Group</t>
        </is>
      </c>
      <c r="F2" s="3" t="inlineStr">
        <is>
          <t>Committed Amount</t>
        </is>
      </c>
      <c r="G2" s="3" t="inlineStr">
        <is>
          <t>Drawn Amount</t>
        </is>
      </c>
      <c r="H2" s="3" t="inlineStr">
        <is>
          <t>Currency</t>
        </is>
      </c>
      <c r="I2" s="3" t="inlineStr">
        <is>
          <t>Margin (bps)</t>
        </is>
      </c>
      <c r="J2" s="3" t="inlineStr">
        <is>
          <t>Base Rate</t>
        </is>
      </c>
      <c r="K2" s="3" t="inlineStr">
        <is>
          <t>Interest Type</t>
        </is>
      </c>
      <c r="L2" s="3" t="inlineStr">
        <is>
          <t>Maturity Date</t>
        </is>
      </c>
      <c r="M2" s="3" t="inlineStr">
        <is>
          <t>Repayment Type</t>
        </is>
      </c>
      <c r="N2" s="3" t="inlineStr">
        <is>
          <t>Our Holding Amount</t>
        </is>
      </c>
      <c r="O2" s="3" t="inlineStr">
        <is>
          <t>Our Holding %</t>
        </is>
      </c>
      <c r="P2" s="3" t="inlineStr">
        <is>
          <t>DSRA Months</t>
        </is>
      </c>
      <c r="Q2" s="3" t="inlineStr">
        <is>
          <t>Status</t>
        </is>
      </c>
      <c r="R2" s="3" t="inlineStr">
        <is>
          <t>Entity Level</t>
        </is>
      </c>
      <c r="S2" s="3" t="inlineStr">
        <is>
          <t>Entity Name</t>
        </is>
      </c>
      <c r="T2" s="3" t="inlineStr">
        <is>
          <t>Ownership %</t>
        </is>
      </c>
      <c r="U2" s="3" t="inlineStr">
        <is>
          <t>Structural Seniority</t>
        </is>
      </c>
      <c r="V2" s="3" t="inlineStr">
        <is>
          <t>Ratio Consolidation Level</t>
        </is>
      </c>
      <c r="W2" s="3" t="inlineStr">
        <is>
          <t>Intercompany Lender</t>
        </is>
      </c>
      <c r="X2" s="3" t="inlineStr">
        <is>
          <t>Subordination Agreement</t>
        </is>
      </c>
      <c r="Y2" s="3" t="inlineStr">
        <is>
          <t>Cashflow Priority Rank</t>
        </is>
      </c>
      <c r="Z2" s="3" t="inlineStr">
        <is>
          <t>Pledged Share Entity</t>
        </is>
      </c>
      <c r="AA2" s="3" t="inlineStr">
        <is>
          <t>Pledged Share %</t>
        </is>
      </c>
      <c r="AB2" s="3" t="inlineStr">
        <is>
          <t>Coupon (bps)</t>
        </is>
      </c>
      <c r="AC2" s="3" t="inlineStr">
        <is>
          <t>Base Rate at Issuance (bps)</t>
        </is>
      </c>
      <c r="AD2" s="3" t="inlineStr">
        <is>
          <t>Spread (bps)</t>
        </is>
      </c>
      <c r="AE2" s="3" t="inlineStr">
        <is>
          <t>Benchmark Spread (bps)</t>
        </is>
      </c>
      <c r="AF2" s="3" t="inlineStr">
        <is>
          <t>Payment Frequency</t>
        </is>
      </c>
      <c r="AG2" s="3" t="inlineStr">
        <is>
          <t>Upfront Fee (bps)</t>
        </is>
      </c>
      <c r="AH2" s="3" t="inlineStr">
        <is>
          <t>Commitment Fee (% of Margin)</t>
        </is>
      </c>
    </row>
    <row r="3" ht="50" customHeight="1">
      <c r="R3" s="12" t="inlineStr">
        <is>
          <t>opco | midco | holdco | topco | issuer | bidco | majority_holdco | minority_holdco</t>
        </is>
      </c>
      <c r="S3" s="12" t="inlineStr">
        <is>
          <t>Entity name from Tab 7</t>
        </is>
      </c>
      <c r="T3" s="12" t="inlineStr">
        <is>
          <t>Economic ownership at this level (0–100). 100 if wholly-owned.</t>
        </is>
      </c>
      <c r="U3" s="12" t="inlineStr">
        <is>
          <t>Integer: 1 = closest to cashflows. Higher = further away.</t>
        </is>
      </c>
      <c r="V3" s="12" t="inlineStr">
        <is>
          <t>opco_standalone | consolidated | proportional_consolidated</t>
        </is>
      </c>
      <c r="W3" s="12" t="inlineStr">
        <is>
          <t>If intercompany loan: lending entity name. Blank for external debt.</t>
        </is>
      </c>
      <c r="X3" s="12" t="inlineStr">
        <is>
          <t>Yes/No — subject to formal intercreditor/subordination agreement?</t>
        </is>
      </c>
      <c r="Y3" s="12" t="inlineStr">
        <is>
          <t>Priority of claim: 1 = first claim. Blank for shareholder loans / intercompany.</t>
        </is>
      </c>
      <c r="Z3" s="12" t="inlineStr">
        <is>
          <t>v9: shareholder entity in Tab 7 whose stake secures this debt (blank for normal debt)</t>
        </is>
      </c>
      <c r="AA3" s="12" t="inlineStr">
        <is>
          <t>v9: ownership % pledged — drives the grossed-up leverage factor (1 / pct)</t>
        </is>
      </c>
      <c r="AB3" s="12" t="inlineStr">
        <is>
          <t>Fixed bonds/notes: full coupon at issuance (e.g. 612 for a 6.125% bond). Floating: blank.</t>
        </is>
      </c>
      <c r="AC3" s="12" t="inlineStr">
        <is>
          <t>Risk-free / benchmark rate at pricing. Fixed: gilt/bund yield. Floating: typically 0.</t>
        </is>
      </c>
      <c r="AD3" s="12" t="inlineStr">
        <is>
          <t>Credit spread at issuance. Fixed: coupon − base rate. Floating: = margin. Canonical for WA Spread.</t>
        </is>
      </c>
      <c r="AE3" s="12" t="inlineStr">
        <is>
          <t>IC memo author's view of the comparable new-issue spread at pricing. Drives private-debt premium = spread − benchmark.</t>
        </is>
      </c>
      <c r="AF3" s="12" t="inlineStr">
        <is>
          <t>monthly | quarterly | semi_annual | annual</t>
        </is>
      </c>
      <c r="AG3" s="12" t="inlineStr">
        <is>
          <t>Arrangement / OID fee paid at drawdown (bps of committed amount).</t>
        </is>
      </c>
      <c r="AH3" s="12" t="inlineStr">
        <is>
          <t>Fee on undrawn, expressed as % of margin (e.g. 35.00 = 35% of margin).</t>
        </is>
      </c>
    </row>
    <row r="4">
      <c r="A4" s="7" t="inlineStr">
        <is>
          <t>Eurotunnel Term Loan (project finance, partially index-linked)</t>
        </is>
      </c>
      <c r="B4" s="7" t="inlineStr">
        <is>
          <t>senior_term</t>
        </is>
      </c>
      <c r="C4" s="7" t="inlineStr">
        <is>
          <t>loan</t>
        </is>
      </c>
      <c r="D4" s="7" t="n"/>
      <c r="E4" s="7" t="inlineStr">
        <is>
          <t>A</t>
        </is>
      </c>
      <c r="F4" s="7" t="n">
        <v>4400000000</v>
      </c>
      <c r="G4" s="7" t="n">
        <v>4400000000</v>
      </c>
      <c r="H4" s="7" t="inlineStr">
        <is>
          <t>EUR</t>
        </is>
      </c>
      <c r="I4" s="7" t="n">
        <v>350</v>
      </c>
      <c r="J4" s="7" t="inlineStr">
        <is>
          <t>Fixed + RPI</t>
        </is>
      </c>
      <c r="K4" s="7" t="inlineStr">
        <is>
          <t>index_linked</t>
        </is>
      </c>
      <c r="L4" s="7" t="inlineStr">
        <is>
          <t>2050-12-31</t>
        </is>
      </c>
      <c r="M4" s="7" t="inlineStr">
        <is>
          <t>amortising</t>
        </is>
      </c>
      <c r="N4" s="7" t="n"/>
      <c r="O4" s="7" t="n">
        <v>0.9</v>
      </c>
      <c r="P4" s="7" t="n"/>
      <c r="Q4" s="7" t="inlineStr">
        <is>
          <t>active</t>
        </is>
      </c>
      <c r="R4" s="7" t="n"/>
      <c r="S4" s="7" t="n"/>
      <c r="T4" s="7" t="n"/>
      <c r="U4" s="7" t="n"/>
      <c r="V4" s="7" t="n"/>
      <c r="W4" s="7" t="n"/>
      <c r="X4" s="7" t="n"/>
      <c r="Y4" s="7" t="n"/>
      <c r="Z4" s="7" t="n"/>
      <c r="AA4" s="7" t="n">
        <v>350</v>
      </c>
      <c r="AB4" s="7" t="n">
        <v>0</v>
      </c>
      <c r="AC4" s="7" t="n">
        <v>350</v>
      </c>
      <c r="AD4" s="7" t="n">
        <v>325</v>
      </c>
      <c r="AE4" s="7" t="n"/>
      <c r="AF4" s="7" t="n"/>
      <c r="AG4" s="7" t="n"/>
      <c r="AH4" s="7" t="n"/>
    </row>
    <row r="5">
      <c r="A5" s="7" t="inlineStr">
        <is>
          <t>Getlink SE 2025 Green Bonds</t>
        </is>
      </c>
      <c r="B5" s="7" t="inlineStr">
        <is>
          <t>bond</t>
        </is>
      </c>
      <c r="C5" s="7" t="inlineStr">
        <is>
          <t>bond</t>
        </is>
      </c>
      <c r="D5" s="7" t="n"/>
      <c r="E5" s="7" t="inlineStr">
        <is>
          <t>B</t>
        </is>
      </c>
      <c r="F5" s="7" t="n">
        <v>850000000</v>
      </c>
      <c r="G5" s="7" t="n">
        <v>850000000</v>
      </c>
      <c r="H5" s="7" t="inlineStr">
        <is>
          <t>EUR</t>
        </is>
      </c>
      <c r="I5" s="7" t="n">
        <v>375</v>
      </c>
      <c r="J5" s="7" t="inlineStr">
        <is>
          <t>Fixed</t>
        </is>
      </c>
      <c r="K5" s="7" t="inlineStr">
        <is>
          <t>fixed</t>
        </is>
      </c>
      <c r="L5" s="7" t="inlineStr">
        <is>
          <t>2030-10-20</t>
        </is>
      </c>
      <c r="M5" s="7" t="inlineStr">
        <is>
          <t>bullet</t>
        </is>
      </c>
      <c r="N5" s="7" t="n"/>
      <c r="O5" s="7" t="n">
        <v>1.18</v>
      </c>
      <c r="P5" s="7" t="n"/>
      <c r="Q5" s="7" t="inlineStr">
        <is>
          <t>active</t>
        </is>
      </c>
      <c r="R5" s="7" t="n"/>
      <c r="S5" s="7" t="n"/>
      <c r="T5" s="7" t="n"/>
      <c r="U5" s="7" t="n"/>
      <c r="V5" s="7" t="n"/>
      <c r="W5" s="7" t="n"/>
      <c r="X5" s="7" t="n"/>
      <c r="Y5" s="7" t="n"/>
      <c r="Z5" s="7" t="n"/>
      <c r="AA5" s="7" t="n">
        <v>375</v>
      </c>
      <c r="AB5" s="7" t="n">
        <v>280</v>
      </c>
      <c r="AC5" s="7" t="n">
        <v>95</v>
      </c>
      <c r="AD5" s="7" t="n">
        <v>85</v>
      </c>
      <c r="AE5" s="7" t="n"/>
      <c r="AF5" s="7" t="n"/>
      <c r="AG5" s="7" t="n"/>
      <c r="AH5" s="7" t="n"/>
    </row>
    <row r="6">
      <c r="A6" s="7" t="inlineStr">
        <is>
          <t>Other Group Facilities (RCF, leases, other)</t>
        </is>
      </c>
      <c r="B6" s="7" t="inlineStr">
        <is>
          <t>senior_rcf</t>
        </is>
      </c>
      <c r="C6" s="7" t="inlineStr">
        <is>
          <t>loan</t>
        </is>
      </c>
      <c r="D6" s="7" t="n"/>
      <c r="E6" s="7" t="inlineStr">
        <is>
          <t>C</t>
        </is>
      </c>
      <c r="F6" s="7" t="n">
        <v>267000000</v>
      </c>
      <c r="G6" s="7" t="n">
        <v>267000000</v>
      </c>
      <c r="H6" s="7" t="inlineStr">
        <is>
          <t>EUR</t>
        </is>
      </c>
      <c r="I6" s="7" t="n">
        <v>250</v>
      </c>
      <c r="J6" s="7" t="inlineStr">
        <is>
          <t>Euribor</t>
        </is>
      </c>
      <c r="K6" s="7" t="inlineStr">
        <is>
          <t>floating</t>
        </is>
      </c>
      <c r="L6" s="7" t="inlineStr">
        <is>
          <t>2028-12-31</t>
        </is>
      </c>
      <c r="M6" s="7" t="inlineStr">
        <is>
          <t>bullet</t>
        </is>
      </c>
      <c r="N6" s="7" t="n"/>
      <c r="O6" s="7" t="n">
        <v>0</v>
      </c>
      <c r="P6" s="7" t="n"/>
      <c r="Q6" s="7" t="inlineStr">
        <is>
          <t>active</t>
        </is>
      </c>
      <c r="R6" s="7" t="n"/>
      <c r="S6" s="7" t="n"/>
      <c r="T6" s="7" t="n"/>
      <c r="U6" s="7" t="n"/>
      <c r="V6" s="7" t="n"/>
      <c r="W6" s="7" t="n"/>
      <c r="X6" s="7" t="n"/>
      <c r="Y6" s="7" t="n"/>
      <c r="Z6" s="7" t="n"/>
      <c r="AA6" s="7" t="n"/>
      <c r="AB6" s="7" t="n"/>
      <c r="AC6" s="7" t="n">
        <v>250</v>
      </c>
      <c r="AD6" s="7" t="n">
        <v>230</v>
      </c>
      <c r="AE6" s="7" t="n"/>
      <c r="AF6" s="7" t="n"/>
      <c r="AG6" s="7" t="n"/>
      <c r="AH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row>
  </sheetData>
  <mergeCells count="1">
    <mergeCell ref="A1:AH1"/>
  </mergeCells>
  <dataValidations count="9">
    <dataValidation sqref="B4 B5 B6 B7 B8 B9 B10 B11" showDropDown="0" showInputMessage="0" showErrorMessage="0" allowBlank="0" type="list">
      <formula1>"senior_term,senior_rcf,capex_facility,mezzanine,shl,bond,note,frn,private_placement,intercompany"</formula1>
    </dataValidation>
    <dataValidation sqref="C4 C5 C6 C7 C8 C9 C10 C11" showDropDown="0" showInputMessage="0" showErrorMessage="0" allowBlank="0" type="list">
      <formula1>"loan,bond,note,frn,il_bond,private_placement,convertible"</formula1>
    </dataValidation>
    <dataValidation sqref="K4 K5 K6 K7 K8 K9 K10 K11" showDropDown="0" showInputMessage="0" showErrorMessage="0" allowBlank="0" type="list">
      <formula1>"fixed,floating,index_linked,hybrid"</formula1>
    </dataValidation>
    <dataValidation sqref="M4 M5 M6 M7 M8 M9 M10 M11" showDropDown="0" showInputMessage="0" showErrorMessage="0" allowBlank="0" type="list">
      <formula1>"bullet,amortising,sculpted,cash_sweep"</formula1>
    </dataValidation>
    <dataValidation sqref="Q4 Q5 Q6 Q7 Q8 Q9 Q10 Q11" showDropDown="0" showInputMessage="0" showErrorMessage="0" allowBlank="0" type="list">
      <formula1>"active,repaid,cancelled,restructured"</formula1>
    </dataValidation>
    <dataValidation sqref="R4 R5 R6 R7 R8 R9 R10 R11" showDropDown="0" showInputMessage="0" showErrorMessage="0" allowBlank="0" type="list">
      <formula1>"opco,midco,holdco,topco,issuer,bidco,majority_holdco,minority_holdco"</formula1>
    </dataValidation>
    <dataValidation sqref="V4 V5 V6 V7 V8 V9 V10 V11" showDropDown="0" showInputMessage="0" showErrorMessage="0" allowBlank="0" type="list">
      <formula1>"opco_standalone,consolidated,proportional_consolidated"</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AF4 AF5 AF6 AF7 AF8 AF9 AF10 AF11" showDropDown="0" showInputMessage="0" showErrorMessage="0" allowBlank="0" type="list">
      <formula1>"monthly,quarterly,semi_annual,annual"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
  <sheetViews>
    <sheetView workbookViewId="0">
      <pane ySplit="3" topLeftCell="A4" activePane="bottomLeft" state="frozen"/>
      <selection pane="bottomLeft" activeCell="A1" sqref="A1"/>
    </sheetView>
  </sheetViews>
  <sheetFormatPr baseColWidth="8" defaultRowHeight="15"/>
  <cols>
    <col width="34" customWidth="1" min="1" max="1"/>
    <col width="11" customWidth="1" min="2" max="2"/>
    <col width="17" customWidth="1" min="3" max="3"/>
    <col width="16" customWidth="1" min="4" max="4"/>
    <col width="22" customWidth="1" min="5" max="5"/>
    <col width="14" customWidth="1" min="6" max="6"/>
    <col width="15" customWidth="1" min="7" max="7"/>
    <col width="16" customWidth="1" min="8" max="8"/>
    <col width="14" customWidth="1" min="9" max="9"/>
    <col width="14" customWidth="1" min="10" max="10"/>
    <col width="16" customWidth="1" min="11" max="11"/>
    <col width="13" customWidth="1" min="12" max="12"/>
    <col width="14" customWidth="1" min="13" max="13"/>
    <col width="17" customWidth="1" min="14" max="14"/>
    <col width="30" customWidth="1" min="15" max="15"/>
  </cols>
  <sheetData>
    <row r="1" ht="55" customHeight="1">
      <c r="A1" s="11" t="inlineStr">
        <is>
          <t>MARGIN RATCHETS — One row per tier. ratchet_kind=base_margin holds absolute-margin tiers (time- or covenant-triggered step-downs/step-ups). ratchet_kind=esg_adjustment holds signed bps deltas applied on top of the active base tier when linked sustainability SPTs are met/missed. Leave blank if the instrument has no ratchet.</t>
        </is>
      </c>
    </row>
    <row r="2">
      <c r="A2" s="3" t="inlineStr">
        <is>
          <t>instrument_ref</t>
        </is>
      </c>
      <c r="B2" s="3" t="inlineStr">
        <is>
          <t>step_order</t>
        </is>
      </c>
      <c r="C2" s="3" t="inlineStr">
        <is>
          <t>ratchet_kind</t>
        </is>
      </c>
      <c r="D2" s="3" t="inlineStr">
        <is>
          <t>trigger_type</t>
        </is>
      </c>
      <c r="E2" s="3" t="inlineStr">
        <is>
          <t>trigger_metric</t>
        </is>
      </c>
      <c r="F2" s="3" t="inlineStr">
        <is>
          <t>trigger_operator</t>
        </is>
      </c>
      <c r="G2" s="3" t="inlineStr">
        <is>
          <t>trigger_threshold</t>
        </is>
      </c>
      <c r="H2" s="3" t="inlineStr">
        <is>
          <t>trigger_threshold_upper</t>
        </is>
      </c>
      <c r="I2" s="3" t="inlineStr">
        <is>
          <t>effective_from</t>
        </is>
      </c>
      <c r="J2" s="3" t="inlineStr">
        <is>
          <t>effective_to</t>
        </is>
      </c>
      <c r="K2" s="3" t="inlineStr">
        <is>
          <t>adjustment_mode</t>
        </is>
      </c>
      <c r="L2" s="3" t="inlineStr">
        <is>
          <t>margin_bps</t>
        </is>
      </c>
      <c r="M2" s="3" t="inlineStr">
        <is>
          <t>pik_portion_bps</t>
        </is>
      </c>
      <c r="N2" s="3" t="inlineStr">
        <is>
          <t>step_type</t>
        </is>
      </c>
      <c r="O2" s="3" t="inlineStr">
        <is>
          <t>notes</t>
        </is>
      </c>
    </row>
    <row r="3" ht="60" customHeight="1">
      <c r="A3" s="12" t="inlineStr">
        <is>
          <t>Must match an Instrument Name on Tab 2 exactly</t>
        </is>
      </c>
      <c r="B3" s="12" t="inlineStr">
        <is>
          <t>Integer 1, 2, 3... within this instrument. Unique per instrument.</t>
        </is>
      </c>
      <c r="C3" s="12" t="inlineStr">
        <is>
          <t>base_margin = absolute margin tier. esg_adjustment = signed delta vs. active base tier.</t>
        </is>
      </c>
      <c r="D3" s="12" t="inlineStr">
        <is>
          <t>time_based | leverage | dscr | icr | coverage_ratio | event_based | esg_kpi | pik_toggle</t>
        </is>
      </c>
      <c r="E3" s="12" t="inlineStr">
        <is>
          <t>e.g. net_leverage | senior_dscr | COD | sector_kpi_3 (matches Tab 9 KPI slot) | carbon_intensity</t>
        </is>
      </c>
      <c r="F3" s="12" t="inlineStr">
        <is>
          <t>&lt; | &lt;= | = | &gt;= | &gt; | between  — blank for time-only triggers</t>
        </is>
      </c>
      <c r="G3" s="12" t="inlineStr">
        <is>
          <t>Numeric threshold (e.g. 5.0 for '&lt; 5.0x'). Blank for time-only triggers.</t>
        </is>
      </c>
      <c r="H3" s="12" t="inlineStr">
        <is>
          <t>Upper bound used with 'between' operator.</t>
        </is>
      </c>
      <c r="I3" s="12" t="inlineStr">
        <is>
          <t>Optional. Blank if purely threshold-driven.</t>
        </is>
      </c>
      <c r="J3" s="12" t="inlineStr">
        <is>
          <t>Optional. Blank if runs to maturity.</t>
        </is>
      </c>
      <c r="K3" s="12" t="inlineStr">
        <is>
          <t>absolute = new total margin. additive = signed bps delta applied to active base tier (ESG).</t>
        </is>
      </c>
      <c r="L3" s="12" t="inlineStr">
        <is>
          <t>e.g. 275 for absolute base margin; -10 for ESG reward; +10 for ESG penalty.</t>
        </is>
      </c>
      <c r="M3" s="12" t="inlineStr">
        <is>
          <t>PIK portion (absolute mode). Leave blank for cash-pay-only tiers.</t>
        </is>
      </c>
      <c r="N3" s="12" t="inlineStr">
        <is>
          <t>initial | step_up | ratchet_down | pik_toggle | default_margin | esg_reward | esg_penalty</t>
        </is>
      </c>
      <c r="O3" s="12" t="inlineStr">
        <is>
          <t>Freeform notes (IC memo commentary, specific SPT description, etc.)</t>
        </is>
      </c>
    </row>
    <row r="4">
      <c r="A4" s="7" t="n"/>
      <c r="B4" s="7" t="n"/>
      <c r="C4" s="7" t="n"/>
      <c r="D4" s="7" t="n"/>
      <c r="E4" s="7" t="n"/>
      <c r="F4" s="7" t="n"/>
      <c r="G4" s="7" t="n"/>
      <c r="H4" s="7" t="n"/>
      <c r="I4" s="7" t="n"/>
      <c r="J4" s="7" t="n"/>
      <c r="K4" s="7" t="n"/>
      <c r="L4" s="7" t="n"/>
      <c r="M4" s="7" t="n"/>
      <c r="N4" s="7" t="n"/>
      <c r="O4" s="7" t="n"/>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sheetData>
  <mergeCells count="1">
    <mergeCell ref="A1:N1"/>
  </mergeCells>
  <dataValidations count="5">
    <dataValidation sqref="C4 C5 C6 C7 C8 C9 C10 C11 C12 C13 C14 C15 C16 C17 C18 C19 C20 C21 C22 C23 C24 C25 C26 C27 C28 C29 C30 C31 C32 C33" showDropDown="0" showInputMessage="0" showErrorMessage="0" allowBlank="0" type="list">
      <formula1>"base_margin,esg_adjustment"</formula1>
    </dataValidation>
    <dataValidation sqref="D4 D5 D6 D7 D8 D9 D10 D11 D12 D13 D14 D15 D16 D17 D18 D19 D20 D21 D22 D23 D24 D25 D26 D27 D28 D29 D30 D31 D32 D33" showDropDown="0" showInputMessage="0" showErrorMessage="0" allowBlank="0" type="list">
      <formula1>"time_based,leverage,dscr,icr,coverage_ratio,event_based,esg_kpi,pik_toggle"</formula1>
    </dataValidation>
    <dataValidation sqref="F4 F5 F6 F7 F8 F9 F10 F11 F12 F13 F14 F15 F16 F17 F18 F19 F20 F21 F22 F23 F24 F25 F26 F27 F28 F29 F30 F31 F32 F33" showDropDown="0" showInputMessage="0" showErrorMessage="0" allowBlank="0" type="list">
      <formula1>"&lt;,&lt;=,=,&gt;=,&gt;,between"</formula1>
    </dataValidation>
    <dataValidation sqref="K4 K5 K6 K7 K8 K9 K10 K11 K12 K13 K14 K15 K16 K17 K18 K19 K20 K21 K22 K23 K24 K25 K26 K27 K28 K29 K30 K31 K32 K33" showDropDown="0" showInputMessage="0" showErrorMessage="0" allowBlank="0" type="list">
      <formula1>"absolute,additive"</formula1>
    </dataValidation>
    <dataValidation sqref="N4 N5 N6 N7 N8 N9 N10 N11 N12 N13 N14 N15 N16 N17 N18 N19 N20 N21 N22 N23 N24 N25 N26 N27 N28 N29 N30 N31 N32 N33" showDropDown="0" showInputMessage="0" showErrorMessage="0" allowBlank="0" type="list">
      <formula1>"initial,step_up,ratchet_down,pik_toggle,default_margin,esg_reward,esg_penalty"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4" customWidth="1" min="1" max="1"/>
    <col width="14" customWidth="1" min="2" max="2"/>
    <col width="14" customWidth="1" min="3" max="3"/>
    <col width="18" customWidth="1" min="4" max="4"/>
    <col width="17" customWidth="1" min="5" max="5"/>
    <col width="14" customWidth="1" min="6" max="6"/>
    <col width="14" customWidth="1" min="7" max="7"/>
    <col width="14" customWidth="1" min="8" max="8"/>
    <col width="14" customWidth="1" min="9" max="9"/>
    <col width="14" customWidth="1" min="10" max="10"/>
    <col width="15" customWidth="1" min="11" max="11"/>
    <col width="14" customWidth="1" min="12" max="12"/>
  </cols>
  <sheetData>
    <row r="1">
      <c r="A1" s="1" t="inlineStr">
        <is>
          <t>RESERVE ACCOUNTS &amp; LIQUIDITY FACILITIES</t>
        </is>
      </c>
    </row>
    <row r="2">
      <c r="A2" s="3" t="inlineStr">
        <is>
          <t>Account Name</t>
        </is>
      </c>
      <c r="B2" s="3" t="inlineStr">
        <is>
          <t>Type</t>
        </is>
      </c>
      <c r="C2" s="3" t="inlineStr">
        <is>
          <t>Sizing Basis</t>
        </is>
      </c>
      <c r="D2" s="3" t="inlineStr">
        <is>
          <t>Required Balance</t>
        </is>
      </c>
      <c r="E2" s="3" t="inlineStr">
        <is>
          <t>Current Balance</t>
        </is>
      </c>
      <c r="F2" s="3" t="inlineStr">
        <is>
          <t>Cash Amount</t>
        </is>
      </c>
      <c r="G2" s="3" t="inlineStr">
        <is>
          <t>LC Amount</t>
        </is>
      </c>
      <c r="H2" s="3" t="inlineStr">
        <is>
          <t>LC Provider</t>
        </is>
      </c>
      <c r="I2" s="3" t="inlineStr">
        <is>
          <t>PCG Amount</t>
        </is>
      </c>
      <c r="J2" s="3" t="inlineStr">
        <is>
          <t>PCG Provider</t>
        </is>
      </c>
      <c r="K2" s="3" t="inlineStr">
        <is>
          <t>Funded Status</t>
        </is>
      </c>
      <c r="L2" s="3" t="inlineStr">
        <is>
          <t>Currency</t>
        </is>
      </c>
    </row>
    <row r="3">
      <c r="A3" s="7" t="n"/>
      <c r="B3" s="7" t="n"/>
      <c r="C3" s="7" t="n"/>
      <c r="D3" s="7" t="n"/>
      <c r="E3" s="7" t="n"/>
      <c r="F3" s="7" t="n"/>
      <c r="G3" s="7" t="n"/>
      <c r="H3" s="7" t="n"/>
      <c r="I3" s="7" t="n"/>
      <c r="J3" s="7" t="n"/>
      <c r="K3" s="7" t="n"/>
      <c r="L3" s="7" t="n"/>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sheetData>
  <mergeCells count="1">
    <mergeCell ref="A1:L1"/>
  </mergeCells>
  <dataValidations count="2">
    <dataValidation sqref="B3 B4 B5 B6 B7 B8" showDropDown="0" showInputMessage="0" showErrorMessage="0" allowBlank="0" type="list">
      <formula1>"dsra,mra,capex_reserve,o_and_m_reserve,distribution_reserve,lifecycle_reserve,escrow,lockup,liquidity_facility,rcf,letter_of_credit,pcg"</formula1>
    </dataValidation>
    <dataValidation sqref="K3 K4 K5 K6 K7 K8" showDropDown="0" showInputMessage="0" showErrorMessage="0" allowBlank="0" type="list">
      <formula1>"fully_funded,partially_funded,unfunded,surplus"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0" customWidth="1" min="1" max="1"/>
    <col width="20" customWidth="1" min="2" max="2"/>
    <col width="40" customWidth="1" min="7" max="7"/>
  </cols>
  <sheetData>
    <row r="1">
      <c r="A1" s="1" t="inlineStr">
        <is>
          <t>KEY COUNTERPARTIES &amp; DEPENDENCIES</t>
        </is>
      </c>
    </row>
    <row r="2">
      <c r="A2" s="3" t="inlineStr">
        <is>
          <t>Name</t>
        </is>
      </c>
      <c r="B2" s="3" t="inlineStr">
        <is>
          <t>Type</t>
        </is>
      </c>
      <c r="C2" s="3" t="inlineStr">
        <is>
          <t>Credit Rating</t>
        </is>
      </c>
      <c r="D2" s="3" t="inlineStr">
        <is>
          <t>Contract Value</t>
        </is>
      </c>
      <c r="E2" s="3" t="inlineStr">
        <is>
          <t>Contract Expiry</t>
        </is>
      </c>
      <c r="F2" s="3" t="inlineStr">
        <is>
          <t>Replacement Risk</t>
        </is>
      </c>
      <c r="G2" s="3" t="inlineStr">
        <is>
          <t>Dependency Narrative</t>
        </is>
      </c>
    </row>
    <row r="3">
      <c r="A3" s="7" t="n"/>
      <c r="B3" s="7" t="n"/>
      <c r="C3" s="7" t="n"/>
      <c r="D3" s="7" t="n"/>
      <c r="E3" s="7" t="n"/>
      <c r="F3" s="7" t="n"/>
      <c r="G3" s="7" t="n"/>
    </row>
    <row r="4">
      <c r="A4" s="7" t="inlineStr">
        <is>
          <t>Ferry operators (P&amp;O, DFDS, Irish Ferries, Brittany Ferries)</t>
        </is>
      </c>
      <c r="B4" s="7" t="inlineStr">
        <is>
          <t>competitor</t>
        </is>
      </c>
      <c r="C4" s="7" t="inlineStr">
        <is>
          <t>n/a</t>
        </is>
      </c>
      <c r="D4" s="7" t="n"/>
      <c r="E4" s="7" t="n"/>
      <c r="F4" s="7" t="inlineStr">
        <is>
          <t>high</t>
        </is>
      </c>
      <c r="G4" s="7" t="inlineStr">
        <is>
          <t>Direct competitors on the Short Straits Dover-Calais market. 2024 saw intensified competition reducing Eurotunnel market share.</t>
        </is>
      </c>
    </row>
    <row r="5">
      <c r="A5" s="7" t="inlineStr">
        <is>
          <t>UK Government + French Government</t>
        </is>
      </c>
      <c r="B5" s="7" t="inlineStr">
        <is>
          <t>concession_grantor</t>
        </is>
      </c>
      <c r="C5" s="7" t="inlineStr">
        <is>
          <t>AA</t>
        </is>
      </c>
      <c r="D5" s="7" t="n"/>
      <c r="E5" s="7" t="n"/>
      <c r="F5" s="7" t="inlineStr">
        <is>
          <t>critical</t>
        </is>
      </c>
      <c r="G5" s="7" t="inlineStr">
        <is>
          <t>Joint grantors of the Eurotunnel Concession. 99-year agreement running to 2086.</t>
        </is>
      </c>
    </row>
    <row r="6">
      <c r="A6" s="7" t="inlineStr">
        <is>
          <t>Eurostar International Limited</t>
        </is>
      </c>
      <c r="B6" s="7" t="inlineStr">
        <is>
          <t>offtaker</t>
        </is>
      </c>
      <c r="C6" s="7" t="inlineStr">
        <is>
          <t>BB</t>
        </is>
      </c>
      <c r="D6" s="7" t="n"/>
      <c r="E6" s="7" t="n"/>
      <c r="F6" s="7" t="inlineStr">
        <is>
          <t>high</t>
        </is>
      </c>
      <c r="G6" s="7" t="inlineStr">
        <is>
          <t>Pays Railway Network usage fees to Eurotunnel. Primary user of the rail network, 11.2m passengers in 2024.</t>
        </is>
      </c>
    </row>
    <row r="7">
      <c r="A7" s="7" t="inlineStr">
        <is>
          <t>DB Cargo / GB Railfreight / SNCF</t>
        </is>
      </c>
      <c r="B7" s="7" t="inlineStr">
        <is>
          <t>offtaker</t>
        </is>
      </c>
      <c r="C7" s="7" t="inlineStr">
        <is>
          <t>BBB</t>
        </is>
      </c>
      <c r="D7" s="7" t="n"/>
      <c r="E7" s="7" t="n"/>
      <c r="F7" s="7" t="inlineStr">
        <is>
          <t>medium</t>
        </is>
      </c>
      <c r="G7" s="7" t="inlineStr">
        <is>
          <t>Rail freight operators using the Tunnel for cross-channel freight services.</t>
        </is>
      </c>
    </row>
    <row r="8">
      <c r="A8" s="7" t="inlineStr">
        <is>
          <t>National Grid ESO / RTE</t>
        </is>
      </c>
      <c r="B8" s="7" t="inlineStr">
        <is>
          <t>regulator</t>
        </is>
      </c>
      <c r="C8" s="7" t="inlineStr">
        <is>
          <t>AA</t>
        </is>
      </c>
      <c r="D8" s="7" t="n"/>
      <c r="E8" s="7" t="n"/>
      <c r="F8" s="7" t="inlineStr">
        <is>
          <t>medium</t>
        </is>
      </c>
      <c r="G8" s="7" t="inlineStr">
        <is>
          <t>Regulators for the ElecLink interconnector exemption. ElecLink profit sharing arrangement.</t>
        </is>
      </c>
    </row>
    <row r="9">
      <c r="A9" s="7" t="n"/>
      <c r="B9" s="7" t="n"/>
      <c r="C9" s="7" t="n"/>
      <c r="D9" s="7" t="n"/>
      <c r="E9" s="7" t="n"/>
      <c r="F9" s="7" t="n"/>
      <c r="G9" s="7" t="n"/>
    </row>
    <row r="10">
      <c r="A10" s="7" t="n"/>
      <c r="B10" s="7" t="n"/>
      <c r="C10" s="7" t="n"/>
      <c r="D10" s="7" t="n"/>
      <c r="E10" s="7" t="n"/>
      <c r="F10" s="7" t="n"/>
      <c r="G10" s="7" t="n"/>
    </row>
  </sheetData>
  <mergeCells count="1">
    <mergeCell ref="A1:G1"/>
  </mergeCells>
  <dataValidations count="2">
    <dataValidation sqref="B3 B4 B5 B6 B7 B8 B9 B10" showDropDown="0" showInputMessage="0" showErrorMessage="0" allowBlank="0" type="list">
      <formula1>"offtaker,contractor,operator,guarantor,insurer,auditor,facility_agent,security_trustee,servicer"</formula1>
    </dataValidation>
    <dataValidation sqref="F3 F4 F5 F6 F7 F8 F9 F10" showDropDown="0" showInputMessage="0" showErrorMessage="0" allowBlank="0" type="list">
      <formula1>"low,medium,high,critical"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16" customWidth="1" min="8" max="8"/>
    <col width="15" customWidth="1" min="9" max="9"/>
  </cols>
  <sheetData>
    <row r="1">
      <c r="A1" s="1" t="inlineStr">
        <is>
          <t>HEDGE PORTFOLIO</t>
        </is>
      </c>
    </row>
    <row r="2">
      <c r="A2" s="3" t="inlineStr">
        <is>
          <t>Hedge Type</t>
        </is>
      </c>
      <c r="B2" s="3" t="inlineStr">
        <is>
          <t>Notional</t>
        </is>
      </c>
      <c r="C2" s="3" t="inlineStr">
        <is>
          <t>% of Debt</t>
        </is>
      </c>
      <c r="D2" s="3" t="inlineStr">
        <is>
          <t>Fixed Rate</t>
        </is>
      </c>
      <c r="E2" s="3" t="inlineStr">
        <is>
          <t>Strike</t>
        </is>
      </c>
      <c r="F2" s="3" t="inlineStr">
        <is>
          <t>Counterparty</t>
        </is>
      </c>
      <c r="G2" s="3" t="inlineStr">
        <is>
          <t>Counterparty Rating</t>
        </is>
      </c>
      <c r="H2" s="3" t="inlineStr">
        <is>
          <t>Mark to Market</t>
        </is>
      </c>
      <c r="I2" s="3" t="inlineStr">
        <is>
          <t>Maturity Date</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sheetData>
  <mergeCells count="1">
    <mergeCell ref="A1:I1"/>
  </mergeCells>
  <dataValidations count="1">
    <dataValidation sqref="A3 A4 A5 A6 A7" showDropDown="0" showInputMessage="0" showErrorMessage="0" allowBlank="0" type="list">
      <formula1>"interest_rate_swap,cap,floor,fx_forward,fx_option,inflation_swap,commodity_swap"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JURISDICTION SPLITS — Must sum to 100% per activity type</t>
        </is>
      </c>
    </row>
    <row r="2">
      <c r="A2" s="3" t="inlineStr">
        <is>
          <t>Country Code (ISO)</t>
        </is>
      </c>
      <c r="B2" s="3" t="inlineStr">
        <is>
          <t>Country Name</t>
        </is>
      </c>
      <c r="C2" s="3" t="inlineStr">
        <is>
          <t>Activity %</t>
        </is>
      </c>
      <c r="D2" s="3" t="inlineStr">
        <is>
          <t>Activity Type</t>
        </is>
      </c>
      <c r="E2" s="3" t="inlineStr">
        <is>
          <t>Is Primary</t>
        </is>
      </c>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sheetData>
  <mergeCells count="1">
    <mergeCell ref="A1:E1"/>
  </mergeCells>
  <dataValidations count="2">
    <dataValidation sqref="D3 D4 D5 D6 D7 D8" showDropDown="0" showInputMessage="0" showErrorMessage="0" allowBlank="0" type="list">
      <formula1>"revenue,operations,assets,headcount"</formula1>
    </dataValidation>
    <dataValidation sqref="E3 E4 E5 E6 E7 E8" showDropDown="0" showInputMessage="0" showErrorMessage="0" allowBlank="0"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5" customWidth="1" min="6" max="6"/>
    <col width="18" customWidth="1" min="7" max="7"/>
    <col width="18" customWidth="1" min="8" max="8"/>
    <col width="18" customWidth="1" min="9" max="9"/>
    <col width="22" customWidth="1" min="10" max="10"/>
    <col width="27" customWidth="1" min="11" max="11"/>
    <col width="18" customWidth="1" min="12" max="12"/>
  </cols>
  <sheetData>
    <row r="1">
      <c r="A1" s="11" t="inlineStr">
        <is>
          <t>CORPORATE ENTITY STRUCTURE — One row per entity in the group. Columns G–L capture ownership, control and consolidation treatment used by the proportional consolidation engine.</t>
        </is>
      </c>
    </row>
    <row r="2">
      <c r="A2" s="3" t="inlineStr">
        <is>
          <t>Entity Name</t>
        </is>
      </c>
      <c r="B2" s="3" t="inlineStr">
        <is>
          <t>Type</t>
        </is>
      </c>
      <c r="C2" s="3" t="inlineStr">
        <is>
          <t>Parent Entity</t>
        </is>
      </c>
      <c r="D2" s="3" t="inlineStr">
        <is>
          <t>Jurisdiction</t>
        </is>
      </c>
      <c r="E2" s="3" t="inlineStr">
        <is>
          <t>Ring-Fenced</t>
        </is>
      </c>
      <c r="F2" s="3" t="inlineStr">
        <is>
          <t>Securitisation Boundary</t>
        </is>
      </c>
      <c r="G2" s="3" t="inlineStr">
        <is>
          <t>Ownership %</t>
        </is>
      </c>
      <c r="H2" s="3" t="inlineStr">
        <is>
          <t>Ownership Type</t>
        </is>
      </c>
      <c r="I2" s="3" t="inlineStr">
        <is>
          <t>Control Type</t>
        </is>
      </c>
      <c r="J2" s="3" t="inlineStr">
        <is>
          <t>Consolidation Method</t>
        </is>
      </c>
      <c r="K2" s="3" t="inlineStr">
        <is>
          <t>Within Security Perimeter</t>
        </is>
      </c>
      <c r="L2" s="3" t="inlineStr">
        <is>
          <t>Ratio Level</t>
        </is>
      </c>
    </row>
    <row r="3" ht="50" customHeight="1">
      <c r="G3" s="12" t="inlineStr">
        <is>
          <t>% owned by parent entity (0–100). 100 if wholly-owned.</t>
        </is>
      </c>
      <c r="H3" s="12" t="inlineStr">
        <is>
          <t>direct | indirect | joint_venture</t>
        </is>
      </c>
      <c r="I3" s="12" t="inlineStr">
        <is>
          <t>full_control (&gt;50%) | significant_influence (20–50%) | passive (&lt;20%) | joint_control</t>
        </is>
      </c>
      <c r="J3" s="12" t="inlineStr">
        <is>
          <t>proportional | equity_method | not_consolidated | full</t>
        </is>
      </c>
      <c r="K3" s="12" t="inlineStr">
        <is>
          <t>Yes/No — is this entity within the ring-fenced financing group?</t>
        </is>
      </c>
      <c r="L3" s="12" t="inlineStr">
        <is>
          <t>opco | midco | holdco | issuer | none</t>
        </is>
      </c>
    </row>
    <row r="4">
      <c r="A4" s="7" t="inlineStr">
        <is>
          <t>Eurotunnel Holding SAS</t>
        </is>
      </c>
      <c r="B4" s="7" t="inlineStr">
        <is>
          <t>holdco</t>
        </is>
      </c>
      <c r="C4" s="7" t="inlineStr">
        <is>
          <t>Getlink SE</t>
        </is>
      </c>
      <c r="D4" s="7" t="inlineStr">
        <is>
          <t>FR</t>
        </is>
      </c>
      <c r="E4" s="7" t="b">
        <v>1</v>
      </c>
      <c r="F4" s="7" t="b">
        <v>1</v>
      </c>
      <c r="G4" s="7" t="n"/>
      <c r="H4" s="7" t="n"/>
      <c r="I4" s="7" t="n"/>
      <c r="J4" s="7" t="n"/>
      <c r="K4" s="7" t="n"/>
      <c r="L4" s="7" t="n"/>
    </row>
    <row r="5">
      <c r="A5" s="7" t="inlineStr">
        <is>
          <t>France Manche SA (FM)</t>
        </is>
      </c>
      <c r="B5" s="7" t="inlineStr">
        <is>
          <t>opco</t>
        </is>
      </c>
      <c r="C5" s="7" t="inlineStr">
        <is>
          <t>Eurotunnel Holding SAS</t>
        </is>
      </c>
      <c r="D5" s="7" t="inlineStr">
        <is>
          <t>FR</t>
        </is>
      </c>
      <c r="E5" s="7" t="b">
        <v>1</v>
      </c>
      <c r="F5" s="7" t="b">
        <v>1</v>
      </c>
      <c r="G5" s="7" t="n"/>
      <c r="H5" s="7" t="n"/>
      <c r="I5" s="7" t="n"/>
      <c r="J5" s="7" t="n"/>
      <c r="K5" s="7" t="n"/>
      <c r="L5" s="7" t="n"/>
    </row>
    <row r="6">
      <c r="A6" s="7" t="inlineStr">
        <is>
          <t>The Channel Tunnel Group Limited (CTG)</t>
        </is>
      </c>
      <c r="B6" s="7" t="inlineStr">
        <is>
          <t>opco</t>
        </is>
      </c>
      <c r="C6" s="7" t="inlineStr">
        <is>
          <t>Eurotunnel Holding SAS</t>
        </is>
      </c>
      <c r="D6" s="7" t="inlineStr">
        <is>
          <t>GB</t>
        </is>
      </c>
      <c r="E6" s="7" t="b">
        <v>1</v>
      </c>
      <c r="F6" s="7" t="b">
        <v>1</v>
      </c>
      <c r="G6" s="7" t="n"/>
      <c r="H6" s="7" t="n"/>
      <c r="I6" s="7" t="n"/>
      <c r="J6" s="7" t="n"/>
      <c r="K6" s="7" t="n"/>
      <c r="L6" s="7" t="n"/>
    </row>
    <row r="7">
      <c r="A7" s="7" t="inlineStr">
        <is>
          <t>ElecLink Limited</t>
        </is>
      </c>
      <c r="B7" s="7" t="inlineStr">
        <is>
          <t>subsidiary</t>
        </is>
      </c>
      <c r="C7" s="7" t="inlineStr">
        <is>
          <t>Getlink SE</t>
        </is>
      </c>
      <c r="D7" s="7" t="inlineStr">
        <is>
          <t>GB</t>
        </is>
      </c>
      <c r="E7" s="7" t="b">
        <v>0</v>
      </c>
      <c r="F7" s="7" t="b">
        <v>0</v>
      </c>
      <c r="G7" s="7" t="n"/>
      <c r="H7" s="7" t="n"/>
      <c r="I7" s="7" t="n"/>
      <c r="J7" s="7" t="n"/>
      <c r="K7" s="7" t="n"/>
      <c r="L7" s="7" t="n"/>
    </row>
    <row r="8">
      <c r="A8" s="7" t="inlineStr">
        <is>
          <t>Europorte SAS</t>
        </is>
      </c>
      <c r="B8" s="7" t="inlineStr">
        <is>
          <t>subsidiary</t>
        </is>
      </c>
      <c r="C8" s="7" t="inlineStr">
        <is>
          <t>Getlink SE</t>
        </is>
      </c>
      <c r="D8" s="7" t="inlineStr">
        <is>
          <t>FR</t>
        </is>
      </c>
      <c r="E8" s="7" t="b">
        <v>0</v>
      </c>
      <c r="F8" s="7" t="b">
        <v>0</v>
      </c>
      <c r="G8" s="7" t="n"/>
      <c r="H8" s="7" t="n"/>
      <c r="I8" s="7" t="n"/>
      <c r="J8" s="7" t="n"/>
      <c r="K8" s="7" t="n"/>
      <c r="L8" s="7" t="n"/>
    </row>
    <row r="9">
      <c r="A9" s="7" t="inlineStr">
        <is>
          <t>Getlink SE (Euronext Paris: GET)</t>
        </is>
      </c>
      <c r="B9" s="7" t="inlineStr">
        <is>
          <t>ultimate_parent</t>
        </is>
      </c>
      <c r="C9" s="7" t="n"/>
      <c r="D9" s="7" t="inlineStr">
        <is>
          <t>FR</t>
        </is>
      </c>
      <c r="E9" s="7" t="b">
        <v>0</v>
      </c>
      <c r="F9" s="7" t="b">
        <v>0</v>
      </c>
      <c r="G9" s="7" t="n"/>
      <c r="H9" s="7" t="n"/>
      <c r="I9" s="7" t="n"/>
      <c r="J9" s="7" t="n"/>
      <c r="K9" s="7" t="n"/>
      <c r="L9" s="7" t="n"/>
    </row>
  </sheetData>
  <mergeCells count="1">
    <mergeCell ref="A1:L1"/>
  </mergeCells>
  <dataValidations count="8">
    <dataValidation sqref="B4 B5 B6 B7 B8 B9" showDropDown="0" showInputMessage="0" showErrorMessage="0" allowBlank="0" type="list">
      <formula1>"opco,bidco,holdco,topco,midco,spv,issuer,guarantor,servicer,majority_holdco,minority_holdco"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H4 H5 H6 H7 H8 H9" showDropDown="0" showInputMessage="0" showErrorMessage="0" allowBlank="0" type="list">
      <formula1>"direct,indirect,joint_venture"</formula1>
    </dataValidation>
    <dataValidation sqref="I4 I5 I6 I7 I8 I9" showDropDown="0" showInputMessage="0" showErrorMessage="0" allowBlank="0" type="list">
      <formula1>"full_control,significant_influence,passive,joint_control"</formula1>
    </dataValidation>
    <dataValidation sqref="J4 J5 J6 J7 J8 J9" showDropDown="0" showInputMessage="0" showErrorMessage="0" allowBlank="0" type="list">
      <formula1>"proportional,equity_method,not_consolidated,full"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"opco,midco,holdco,issuer,none"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6" customWidth="1" min="6" max="6"/>
    <col width="19" customWidth="1" min="7" max="7"/>
    <col width="14" customWidth="1" min="8" max="8"/>
    <col width="15" customWidth="1" min="9" max="9"/>
    <col width="15" customWidth="1" min="10" max="10"/>
    <col width="23" customWidth="1" min="11" max="11"/>
    <col width="14" customWidth="1" min="12" max="12"/>
  </cols>
  <sheetData>
    <row r="1">
      <c r="A1" s="11" t="inlineStr">
        <is>
          <t>COVENANT THRESHOLD CONFIGURATION — Three-tier framework per ratio. Column L records which entity level the covenant is tested at (needed for multi-level structures).</t>
        </is>
      </c>
    </row>
    <row r="2">
      <c r="A2" s="3" t="inlineStr">
        <is>
          <t>Covenant Name</t>
        </is>
      </c>
      <c r="B2" s="3" t="inlineStr">
        <is>
          <t>Ratio Name</t>
        </is>
      </c>
      <c r="C2" s="3" t="inlineStr">
        <is>
          <t>Category</t>
        </is>
      </c>
      <c r="D2" s="3" t="inlineStr">
        <is>
          <t>Test Type</t>
        </is>
      </c>
      <c r="E2" s="3" t="inlineStr">
        <is>
          <t>Direction</t>
        </is>
      </c>
      <c r="F2" s="3" t="inlineStr">
        <is>
          <t>Test Frequency</t>
        </is>
      </c>
      <c r="G2" s="3" t="inlineStr">
        <is>
          <t>Enforcement Class</t>
        </is>
      </c>
      <c r="H2" s="3" t="inlineStr">
        <is>
          <t>Lockup Level</t>
        </is>
      </c>
      <c r="I2" s="3" t="inlineStr">
        <is>
          <t>Trigger Level</t>
        </is>
      </c>
      <c r="J2" s="3" t="inlineStr">
        <is>
          <t>Default Level</t>
        </is>
      </c>
      <c r="K2" s="3" t="inlineStr">
        <is>
          <t>Equity Cure Available</t>
        </is>
      </c>
      <c r="L2" s="3" t="inlineStr">
        <is>
          <t>Ratio Level</t>
        </is>
      </c>
    </row>
    <row r="3" ht="35" customHeight="1">
      <c r="L3" s="12" t="inlineStr">
        <is>
          <t>opco | midco | holdco | consolidated | proportional_consolidated</t>
        </is>
      </c>
    </row>
    <row r="4">
      <c r="A4" s="7" t="inlineStr">
        <is>
          <t>Senior DSCR</t>
        </is>
      </c>
      <c r="B4" s="7" t="inlineStr">
        <is>
          <t>seniorDscr</t>
        </is>
      </c>
      <c r="C4" s="7" t="inlineStr">
        <is>
          <t>cash_flow_cover</t>
        </is>
      </c>
      <c r="D4" s="7" t="inlineStr">
        <is>
          <t>hard_covenant</t>
        </is>
      </c>
      <c r="E4" s="7" t="inlineStr">
        <is>
          <t>min</t>
        </is>
      </c>
      <c r="F4" s="7" t="inlineStr">
        <is>
          <t>semi_annual</t>
        </is>
      </c>
      <c r="G4" s="7" t="inlineStr">
        <is>
          <t>Senior</t>
        </is>
      </c>
      <c r="H4" s="7" t="n">
        <v>1.2</v>
      </c>
      <c r="I4" s="7" t="n"/>
      <c r="J4" s="7" t="n">
        <v>1.1</v>
      </c>
      <c r="K4" s="7" t="b">
        <v>0</v>
      </c>
      <c r="L4" s="7" t="n"/>
    </row>
    <row r="5">
      <c r="A5" s="7" t="inlineStr">
        <is>
          <t>Net Debt / EBITDA</t>
        </is>
      </c>
      <c r="B5" s="7" t="inlineStr">
        <is>
          <t>seniorNetDebtEbitda</t>
        </is>
      </c>
      <c r="C5" s="7" t="inlineStr">
        <is>
          <t>collateral_value</t>
        </is>
      </c>
      <c r="D5" s="7" t="inlineStr">
        <is>
          <t>hard_covenant</t>
        </is>
      </c>
      <c r="E5" s="7" t="inlineStr">
        <is>
          <t>max</t>
        </is>
      </c>
      <c r="F5" s="7" t="inlineStr">
        <is>
          <t>semi_annual</t>
        </is>
      </c>
      <c r="G5" s="7" t="inlineStr">
        <is>
          <t>Senior</t>
        </is>
      </c>
      <c r="H5" s="7" t="n">
        <v>7</v>
      </c>
      <c r="I5" s="7" t="n"/>
      <c r="J5" s="7" t="n">
        <v>8</v>
      </c>
      <c r="K5" s="7" t="b">
        <v>0</v>
      </c>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6">
    <dataValidation sqref="C4 C5 C6 C7 C8 C9" showDropDown="0" showInputMessage="0" showErrorMessage="0" allowBlank="0" type="list">
      <formula1>"cash_flow_cover,collateral_value,incurrence,distribution,financial_maintenance"</formula1>
    </dataValidation>
    <dataValidation sqref="D4 D5 D6 D7 D8 D9" showDropDown="0" showInputMessage="0" showErrorMessage="0" allowBlank="0" type="list">
      <formula1>"hard_covenant,distribution_condition,trigger,default"</formula1>
    </dataValidation>
    <dataValidation sqref="E4 E5 E6 E7 E8 E9" showDropDown="0" showInputMessage="0" showErrorMessage="0" allowBlank="0" type="list">
      <formula1>"min,max"</formula1>
    </dataValidation>
    <dataValidation sqref="F4 F5 F6 F7 F8 F9" showDropDown="0" showInputMessage="0" showErrorMessage="0" allowBlank="0" type="list">
      <formula1>"quarterly,semi_annual,annual"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"opco,midco,holdco,consolidated,proportional_consolidated"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18" customWidth="1" min="1" max="1"/>
    <col width="34" customWidth="1" min="2" max="2"/>
    <col width="26" customWidth="1" min="3" max="3"/>
    <col width="28" customWidth="1" min="4" max="4"/>
    <col width="20" customWidth="1" min="5" max="5"/>
    <col width="14" customWidth="1" min="6" max="6"/>
    <col width="14" customWidth="1" min="7" max="7"/>
  </cols>
  <sheetData>
    <row r="1" ht="55" customHeight="1">
      <c r="A1" s="11" t="inlineStr">
        <is>
          <t>IC MEMO KPI SCENARIO SERIES — One row per (scenario × period × KPI) trajectory point. Management case = IC baseline. Single-variant stresses link to a risk_id from Tab 6 risk register. Combined downside is the aggregate stress scenario. Sparse: only fill the rows the IC defined.</t>
        </is>
      </c>
    </row>
    <row r="2">
      <c r="A2" s="3" t="inlineStr">
        <is>
          <t>kpi_key</t>
        </is>
      </c>
      <c r="B2" s="3" t="inlineStr">
        <is>
          <t>kpi_label</t>
        </is>
      </c>
      <c r="C2" s="3" t="inlineStr">
        <is>
          <t>scenario_kind</t>
        </is>
      </c>
      <c r="D2" s="3" t="inlineStr">
        <is>
          <t>stress_label</t>
        </is>
      </c>
      <c r="E2" s="3" t="inlineStr">
        <is>
          <t>driving_risk_ref</t>
        </is>
      </c>
      <c r="F2" s="3" t="inlineStr">
        <is>
          <t>period_flag</t>
        </is>
      </c>
      <c r="G2" s="3" t="inlineStr">
        <is>
          <t>value</t>
        </is>
      </c>
    </row>
    <row r="3">
      <c r="A3" s="7" t="n"/>
      <c r="B3" s="7" t="n"/>
      <c r="C3" s="7" t="n"/>
      <c r="D3" s="7" t="n"/>
      <c r="E3" s="7" t="n"/>
      <c r="F3" s="7" t="n"/>
      <c r="G3" s="7" t="n"/>
    </row>
    <row r="4">
      <c r="A4" s="7" t="inlineStr">
        <is>
          <t>sector_kpi_4</t>
        </is>
      </c>
      <c r="B4" s="7" t="inlineStr">
        <is>
          <t>Concession Years Remaining</t>
        </is>
      </c>
      <c r="C4" s="7" t="inlineStr">
        <is>
          <t>management_case</t>
        </is>
      </c>
      <c r="D4" s="7" t="n"/>
      <c r="E4" s="7" t="n"/>
      <c r="F4" s="7" t="inlineStr">
        <is>
          <t>FY2019</t>
        </is>
      </c>
      <c r="G4" s="7" t="n">
        <v>68</v>
      </c>
    </row>
    <row r="5">
      <c r="A5" s="7" t="inlineStr">
        <is>
          <t>sector_kpi_4</t>
        </is>
      </c>
      <c r="B5" s="7" t="inlineStr">
        <is>
          <t>Concession Years Remaining</t>
        </is>
      </c>
      <c r="C5" s="7" t="inlineStr">
        <is>
          <t>management_case</t>
        </is>
      </c>
      <c r="D5" s="7" t="n"/>
      <c r="E5" s="7" t="n"/>
      <c r="F5" s="7" t="inlineStr">
        <is>
          <t>FY2020</t>
        </is>
      </c>
      <c r="G5" s="7" t="n">
        <v>67</v>
      </c>
    </row>
    <row r="6">
      <c r="A6" s="7" t="inlineStr">
        <is>
          <t>sector_kpi_4</t>
        </is>
      </c>
      <c r="B6" s="7" t="inlineStr">
        <is>
          <t>Concession Years Remaining</t>
        </is>
      </c>
      <c r="C6" s="7" t="inlineStr">
        <is>
          <t>management_case</t>
        </is>
      </c>
      <c r="D6" s="7" t="n"/>
      <c r="E6" s="7" t="n"/>
      <c r="F6" s="7" t="inlineStr">
        <is>
          <t>FY2021</t>
        </is>
      </c>
      <c r="G6" s="7" t="n">
        <v>66</v>
      </c>
    </row>
    <row r="7">
      <c r="A7" s="7" t="inlineStr">
        <is>
          <t>sector_kpi_4</t>
        </is>
      </c>
      <c r="B7" s="7" t="inlineStr">
        <is>
          <t>Concession Years Remaining</t>
        </is>
      </c>
      <c r="C7" s="7" t="inlineStr">
        <is>
          <t>management_case</t>
        </is>
      </c>
      <c r="D7" s="7" t="n"/>
      <c r="E7" s="7" t="n"/>
      <c r="F7" s="7" t="inlineStr">
        <is>
          <t>FY2022</t>
        </is>
      </c>
      <c r="G7" s="7" t="n">
        <v>65</v>
      </c>
    </row>
    <row r="8">
      <c r="A8" s="7" t="inlineStr">
        <is>
          <t>sector_kpi_4</t>
        </is>
      </c>
      <c r="B8" s="7" t="inlineStr">
        <is>
          <t>Concession Years Remaining</t>
        </is>
      </c>
      <c r="C8" s="7" t="inlineStr">
        <is>
          <t>management_case</t>
        </is>
      </c>
      <c r="D8" s="7" t="n"/>
      <c r="E8" s="7" t="n"/>
      <c r="F8" s="7" t="inlineStr">
        <is>
          <t>FY2023</t>
        </is>
      </c>
      <c r="G8" s="7" t="n">
        <v>64</v>
      </c>
    </row>
    <row r="9">
      <c r="A9" s="7" t="inlineStr">
        <is>
          <t>sector_kpi_4</t>
        </is>
      </c>
      <c r="B9" s="7" t="inlineStr">
        <is>
          <t>Concession Years Remaining</t>
        </is>
      </c>
      <c r="C9" s="7" t="inlineStr">
        <is>
          <t>management_case</t>
        </is>
      </c>
      <c r="D9" s="7" t="n"/>
      <c r="E9" s="7" t="n"/>
      <c r="F9" s="7" t="inlineStr">
        <is>
          <t>FY2024</t>
        </is>
      </c>
      <c r="G9" s="7" t="n">
        <v>63</v>
      </c>
    </row>
    <row r="10">
      <c r="A10" s="7" t="inlineStr">
        <is>
          <t>sector_kpi_4</t>
        </is>
      </c>
      <c r="B10" s="7" t="inlineStr">
        <is>
          <t>Concession Years Remaining</t>
        </is>
      </c>
      <c r="C10" s="7" t="inlineStr">
        <is>
          <t>management_case</t>
        </is>
      </c>
      <c r="D10" s="7" t="n"/>
      <c r="E10" s="7" t="n"/>
      <c r="F10" s="7" t="inlineStr">
        <is>
          <t>FY2025</t>
        </is>
      </c>
      <c r="G10" s="7" t="n">
        <v>62</v>
      </c>
    </row>
    <row r="11">
      <c r="A11" s="7" t="inlineStr">
        <is>
          <t>sector_kpi_4</t>
        </is>
      </c>
      <c r="B11" s="7" t="inlineStr">
        <is>
          <t>Concession Years Remaining</t>
        </is>
      </c>
      <c r="C11" s="7" t="inlineStr">
        <is>
          <t>management_case</t>
        </is>
      </c>
      <c r="D11" s="7" t="n"/>
      <c r="E11" s="7" t="n"/>
      <c r="F11" s="7" t="inlineStr">
        <is>
          <t>FY2026</t>
        </is>
      </c>
      <c r="G11" s="7" t="n">
        <v>61</v>
      </c>
    </row>
    <row r="12">
      <c r="A12" s="7" t="inlineStr">
        <is>
          <t>sector_kpi_4</t>
        </is>
      </c>
      <c r="B12" s="7" t="inlineStr">
        <is>
          <t>Concession Years Remaining</t>
        </is>
      </c>
      <c r="C12" s="7" t="inlineStr">
        <is>
          <t>management_case</t>
        </is>
      </c>
      <c r="D12" s="7" t="n"/>
      <c r="E12" s="7" t="n"/>
      <c r="F12" s="7" t="inlineStr">
        <is>
          <t>FY2027</t>
        </is>
      </c>
      <c r="G12" s="7" t="n">
        <v>60</v>
      </c>
    </row>
    <row r="13">
      <c r="A13" s="7" t="inlineStr">
        <is>
          <t>sector_kpi_4</t>
        </is>
      </c>
      <c r="B13" s="7" t="inlineStr">
        <is>
          <t>Concession Years Remaining</t>
        </is>
      </c>
      <c r="C13" s="7" t="inlineStr">
        <is>
          <t>management_case</t>
        </is>
      </c>
      <c r="D13" s="7" t="n"/>
      <c r="E13" s="7" t="n"/>
      <c r="F13" s="7" t="inlineStr">
        <is>
          <t>FY2028</t>
        </is>
      </c>
      <c r="G13" s="7" t="n">
        <v>59</v>
      </c>
    </row>
    <row r="14">
      <c r="A14" s="7" t="inlineStr">
        <is>
          <t>sector_kpi_4</t>
        </is>
      </c>
      <c r="B14" s="7" t="inlineStr">
        <is>
          <t>Concession Years Remaining</t>
        </is>
      </c>
      <c r="C14" s="7" t="inlineStr">
        <is>
          <t>management_case</t>
        </is>
      </c>
      <c r="D14" s="7" t="n"/>
      <c r="E14" s="7" t="n"/>
      <c r="F14" s="7" t="inlineStr">
        <is>
          <t>FY2029</t>
        </is>
      </c>
      <c r="G14" s="7" t="n">
        <v>58</v>
      </c>
    </row>
    <row r="15">
      <c r="A15" s="7" t="inlineStr">
        <is>
          <t>sector_kpi_4</t>
        </is>
      </c>
      <c r="B15" s="7" t="inlineStr">
        <is>
          <t>Concession Years Remaining</t>
        </is>
      </c>
      <c r="C15" s="7" t="inlineStr">
        <is>
          <t>management_case</t>
        </is>
      </c>
      <c r="D15" s="7" t="n"/>
      <c r="E15" s="7" t="n"/>
      <c r="F15" s="7" t="inlineStr">
        <is>
          <t>FY2030</t>
        </is>
      </c>
      <c r="G15" s="7" t="n">
        <v>57</v>
      </c>
    </row>
    <row r="16">
      <c r="A16" s="7" t="inlineStr">
        <is>
          <t>sector_kpi_4</t>
        </is>
      </c>
      <c r="B16" s="7" t="inlineStr">
        <is>
          <t>Concession Years Remaining</t>
        </is>
      </c>
      <c r="C16" s="7" t="inlineStr">
        <is>
          <t>management_case</t>
        </is>
      </c>
      <c r="D16" s="7" t="n"/>
      <c r="E16" s="7" t="n"/>
      <c r="F16" s="7" t="inlineStr">
        <is>
          <t>FY2031</t>
        </is>
      </c>
      <c r="G16" s="7" t="n">
        <v>56</v>
      </c>
    </row>
    <row r="17">
      <c r="A17" s="7" t="inlineStr">
        <is>
          <t>sector_kpi_4</t>
        </is>
      </c>
      <c r="B17" s="7" t="inlineStr">
        <is>
          <t>Concession Years Remaining</t>
        </is>
      </c>
      <c r="C17" s="7" t="inlineStr">
        <is>
          <t>management_case</t>
        </is>
      </c>
      <c r="D17" s="7" t="n"/>
      <c r="E17" s="7" t="n"/>
      <c r="F17" s="7" t="inlineStr">
        <is>
          <t>FY2032</t>
        </is>
      </c>
      <c r="G17" s="7" t="n">
        <v>55</v>
      </c>
    </row>
    <row r="18">
      <c r="A18" s="7" t="inlineStr">
        <is>
          <t>sector_kpi_4</t>
        </is>
      </c>
      <c r="B18" s="7" t="inlineStr">
        <is>
          <t>Concession Years Remaining</t>
        </is>
      </c>
      <c r="C18" s="7" t="inlineStr">
        <is>
          <t>management_case</t>
        </is>
      </c>
      <c r="D18" s="7" t="n"/>
      <c r="E18" s="7" t="n"/>
      <c r="F18" s="7" t="inlineStr">
        <is>
          <t>FY2033</t>
        </is>
      </c>
      <c r="G18" s="7" t="n">
        <v>54</v>
      </c>
    </row>
    <row r="19">
      <c r="A19" s="7" t="inlineStr">
        <is>
          <t>sector_kpi_4</t>
        </is>
      </c>
      <c r="B19" s="7" t="inlineStr">
        <is>
          <t>Concession Years Remaining</t>
        </is>
      </c>
      <c r="C19" s="7" t="inlineStr">
        <is>
          <t>management_case</t>
        </is>
      </c>
      <c r="D19" s="7" t="n"/>
      <c r="E19" s="7" t="n"/>
      <c r="F19" s="7" t="inlineStr">
        <is>
          <t>FY2034</t>
        </is>
      </c>
      <c r="G19" s="7" t="n">
        <v>53</v>
      </c>
    </row>
    <row r="20">
      <c r="A20" s="7" t="inlineStr">
        <is>
          <t>sector_kpi_4</t>
        </is>
      </c>
      <c r="B20" s="7" t="inlineStr">
        <is>
          <t>Concession Years Remaining</t>
        </is>
      </c>
      <c r="C20" s="7" t="inlineStr">
        <is>
          <t>management_case</t>
        </is>
      </c>
      <c r="D20" s="7" t="n"/>
      <c r="E20" s="7" t="n"/>
      <c r="F20" s="7" t="inlineStr">
        <is>
          <t>FY2035</t>
        </is>
      </c>
      <c r="G20" s="7" t="n">
        <v>52</v>
      </c>
    </row>
    <row r="21">
      <c r="A21" s="7" t="inlineStr">
        <is>
          <t>sector_kpi_4</t>
        </is>
      </c>
      <c r="B21" s="7" t="inlineStr">
        <is>
          <t>Concession Years Remaining</t>
        </is>
      </c>
      <c r="C21" s="7" t="inlineStr">
        <is>
          <t>management_case</t>
        </is>
      </c>
      <c r="D21" s="7" t="n"/>
      <c r="E21" s="7" t="n"/>
      <c r="F21" s="7" t="inlineStr">
        <is>
          <t>FY2036</t>
        </is>
      </c>
      <c r="G21" s="7" t="n">
        <v>51</v>
      </c>
    </row>
    <row r="22">
      <c r="A22" s="7" t="inlineStr">
        <is>
          <t>sector_kpi_4</t>
        </is>
      </c>
      <c r="B22" s="7" t="inlineStr">
        <is>
          <t>Concession Years Remaining</t>
        </is>
      </c>
      <c r="C22" s="7" t="inlineStr">
        <is>
          <t>management_case</t>
        </is>
      </c>
      <c r="D22" s="7" t="n"/>
      <c r="E22" s="7" t="n"/>
      <c r="F22" s="7" t="inlineStr">
        <is>
          <t>FY2037</t>
        </is>
      </c>
      <c r="G22" s="7" t="n">
        <v>50</v>
      </c>
    </row>
    <row r="23">
      <c r="A23" s="7" t="inlineStr">
        <is>
          <t>sector_kpi_4</t>
        </is>
      </c>
      <c r="B23" s="7" t="inlineStr">
        <is>
          <t>Concession Years Remaining</t>
        </is>
      </c>
      <c r="C23" s="7" t="inlineStr">
        <is>
          <t>management_case</t>
        </is>
      </c>
      <c r="D23" s="7" t="n"/>
      <c r="E23" s="7" t="n"/>
      <c r="F23" s="7" t="inlineStr">
        <is>
          <t>FY2038</t>
        </is>
      </c>
      <c r="G23" s="7" t="n">
        <v>49</v>
      </c>
    </row>
    <row r="24">
      <c r="A24" s="7" t="inlineStr">
        <is>
          <t>sector_kpi_4</t>
        </is>
      </c>
      <c r="B24" s="7" t="inlineStr">
        <is>
          <t>Concession Years Remaining</t>
        </is>
      </c>
      <c r="C24" s="7" t="inlineStr">
        <is>
          <t>management_case</t>
        </is>
      </c>
      <c r="D24" s="7" t="n"/>
      <c r="E24" s="7" t="n"/>
      <c r="F24" s="7" t="inlineStr">
        <is>
          <t>FY2039</t>
        </is>
      </c>
      <c r="G24" s="7" t="n">
        <v>48</v>
      </c>
    </row>
    <row r="25">
      <c r="A25" s="7" t="inlineStr">
        <is>
          <t>sector_kpi_4</t>
        </is>
      </c>
      <c r="B25" s="7" t="inlineStr">
        <is>
          <t>Concession Years Remaining</t>
        </is>
      </c>
      <c r="C25" s="7" t="inlineStr">
        <is>
          <t>management_case</t>
        </is>
      </c>
      <c r="D25" s="7" t="n"/>
      <c r="E25" s="7" t="n"/>
      <c r="F25" s="7" t="inlineStr">
        <is>
          <t>FY2040</t>
        </is>
      </c>
      <c r="G25" s="7" t="n">
        <v>47</v>
      </c>
    </row>
    <row r="26">
      <c r="A26" s="7" t="inlineStr">
        <is>
          <t>sector_kpi_4</t>
        </is>
      </c>
      <c r="B26" s="7" t="inlineStr">
        <is>
          <t>Concession Years Remaining</t>
        </is>
      </c>
      <c r="C26" s="7" t="inlineStr">
        <is>
          <t>management_case</t>
        </is>
      </c>
      <c r="D26" s="7" t="n"/>
      <c r="E26" s="7" t="n"/>
      <c r="F26" s="7" t="inlineStr">
        <is>
          <t>FY2041</t>
        </is>
      </c>
      <c r="G26" s="7" t="n">
        <v>46</v>
      </c>
    </row>
    <row r="27">
      <c r="A27" s="7" t="inlineStr">
        <is>
          <t>sector_kpi_4</t>
        </is>
      </c>
      <c r="B27" s="7" t="inlineStr">
        <is>
          <t>Concession Years Remaining</t>
        </is>
      </c>
      <c r="C27" s="7" t="inlineStr">
        <is>
          <t>management_case</t>
        </is>
      </c>
      <c r="D27" s="7" t="n"/>
      <c r="E27" s="7" t="n"/>
      <c r="F27" s="7" t="inlineStr">
        <is>
          <t>FY2042</t>
        </is>
      </c>
      <c r="G27" s="7" t="n">
        <v>45</v>
      </c>
    </row>
    <row r="28">
      <c r="A28" s="7" t="inlineStr">
        <is>
          <t>sector_kpi_4</t>
        </is>
      </c>
      <c r="B28" s="7" t="inlineStr">
        <is>
          <t>Concession Years Remaining</t>
        </is>
      </c>
      <c r="C28" s="7" t="inlineStr">
        <is>
          <t>management_case</t>
        </is>
      </c>
      <c r="D28" s="7" t="n"/>
      <c r="E28" s="7" t="n"/>
      <c r="F28" s="7" t="inlineStr">
        <is>
          <t>FY2043</t>
        </is>
      </c>
      <c r="G28" s="7" t="n">
        <v>44</v>
      </c>
    </row>
    <row r="29">
      <c r="A29" s="7" t="inlineStr">
        <is>
          <t>sector_kpi_4</t>
        </is>
      </c>
      <c r="B29" s="7" t="inlineStr">
        <is>
          <t>Concession Years Remaining</t>
        </is>
      </c>
      <c r="C29" s="7" t="inlineStr">
        <is>
          <t>management_case</t>
        </is>
      </c>
      <c r="D29" s="7" t="n"/>
      <c r="E29" s="7" t="n"/>
      <c r="F29" s="7" t="inlineStr">
        <is>
          <t>FY2044</t>
        </is>
      </c>
      <c r="G29" s="7" t="n">
        <v>43</v>
      </c>
    </row>
    <row r="30">
      <c r="A30" s="7" t="inlineStr">
        <is>
          <t>sector_kpi_4</t>
        </is>
      </c>
      <c r="B30" s="7" t="inlineStr">
        <is>
          <t>Concession Years Remaining</t>
        </is>
      </c>
      <c r="C30" s="7" t="inlineStr">
        <is>
          <t>management_case</t>
        </is>
      </c>
      <c r="D30" s="7" t="n"/>
      <c r="E30" s="7" t="n"/>
      <c r="F30" s="7" t="inlineStr">
        <is>
          <t>FY2045</t>
        </is>
      </c>
      <c r="G30" s="7" t="n">
        <v>42</v>
      </c>
    </row>
    <row r="31">
      <c r="A31" s="7" t="inlineStr">
        <is>
          <t>sector_kpi_4</t>
        </is>
      </c>
      <c r="B31" s="7" t="inlineStr">
        <is>
          <t>Concession Years Remaining</t>
        </is>
      </c>
      <c r="C31" s="7" t="inlineStr">
        <is>
          <t>management_case</t>
        </is>
      </c>
      <c r="D31" s="7" t="n"/>
      <c r="E31" s="7" t="n"/>
      <c r="F31" s="7" t="inlineStr">
        <is>
          <t>FY2046</t>
        </is>
      </c>
      <c r="G31" s="7" t="n">
        <v>41</v>
      </c>
    </row>
    <row r="32">
      <c r="A32" s="7" t="inlineStr">
        <is>
          <t>sector_kpi_4</t>
        </is>
      </c>
      <c r="B32" s="7" t="inlineStr">
        <is>
          <t>Concession Years Remaining</t>
        </is>
      </c>
      <c r="C32" s="7" t="inlineStr">
        <is>
          <t>management_case</t>
        </is>
      </c>
      <c r="D32" s="7" t="n"/>
      <c r="E32" s="7" t="n"/>
      <c r="F32" s="7" t="inlineStr">
        <is>
          <t>FY2047</t>
        </is>
      </c>
      <c r="G32" s="7" t="n">
        <v>40</v>
      </c>
    </row>
    <row r="33">
      <c r="A33" s="7" t="inlineStr">
        <is>
          <t>sector_kpi_4</t>
        </is>
      </c>
      <c r="B33" s="7" t="inlineStr">
        <is>
          <t>Concession Years Remaining</t>
        </is>
      </c>
      <c r="C33" s="7" t="inlineStr">
        <is>
          <t>management_case</t>
        </is>
      </c>
      <c r="D33" s="7" t="n"/>
      <c r="E33" s="7" t="n"/>
      <c r="F33" s="7" t="inlineStr">
        <is>
          <t>FY2048</t>
        </is>
      </c>
      <c r="G33" s="7" t="n">
        <v>39</v>
      </c>
    </row>
    <row r="34">
      <c r="A34" s="7" t="inlineStr">
        <is>
          <t>sector_kpi_4</t>
        </is>
      </c>
      <c r="B34" s="7" t="inlineStr">
        <is>
          <t>Concession Years Remaining</t>
        </is>
      </c>
      <c r="C34" s="7" t="inlineStr">
        <is>
          <t>management_case</t>
        </is>
      </c>
      <c r="D34" s="7" t="n"/>
      <c r="E34" s="7" t="n"/>
      <c r="F34" s="7" t="inlineStr">
        <is>
          <t>FY2049</t>
        </is>
      </c>
      <c r="G34" s="7" t="n">
        <v>38</v>
      </c>
    </row>
    <row r="35">
      <c r="A35" s="7" t="inlineStr">
        <is>
          <t>sector_kpi_4</t>
        </is>
      </c>
      <c r="B35" s="7" t="inlineStr">
        <is>
          <t>Concession Years Remaining</t>
        </is>
      </c>
      <c r="C35" s="7" t="inlineStr">
        <is>
          <t>management_case</t>
        </is>
      </c>
      <c r="D35" s="7" t="n"/>
      <c r="E35" s="7" t="n"/>
      <c r="F35" s="7" t="inlineStr">
        <is>
          <t>FY2050</t>
        </is>
      </c>
      <c r="G35" s="7" t="n">
        <v>37</v>
      </c>
    </row>
    <row r="36">
      <c r="A36" s="7" t="inlineStr">
        <is>
          <t>sector_kpi_4</t>
        </is>
      </c>
      <c r="B36" s="7" t="inlineStr">
        <is>
          <t>Concession Years Remaining</t>
        </is>
      </c>
      <c r="C36" s="7" t="inlineStr">
        <is>
          <t>management_case</t>
        </is>
      </c>
      <c r="D36" s="7" t="n"/>
      <c r="E36" s="7" t="n"/>
      <c r="F36" s="7" t="inlineStr">
        <is>
          <t>FY2051</t>
        </is>
      </c>
      <c r="G36" s="7" t="n">
        <v>36</v>
      </c>
    </row>
    <row r="37">
      <c r="A37" s="7" t="inlineStr">
        <is>
          <t>sector_kpi_4</t>
        </is>
      </c>
      <c r="B37" s="7" t="inlineStr">
        <is>
          <t>Concession Years Remaining</t>
        </is>
      </c>
      <c r="C37" s="7" t="inlineStr">
        <is>
          <t>management_case</t>
        </is>
      </c>
      <c r="D37" s="7" t="n"/>
      <c r="E37" s="7" t="n"/>
      <c r="F37" s="7" t="inlineStr">
        <is>
          <t>FY2052</t>
        </is>
      </c>
      <c r="G37" s="7" t="n">
        <v>35</v>
      </c>
    </row>
    <row r="38">
      <c r="A38" s="7" t="inlineStr">
        <is>
          <t>sector_kpi_4</t>
        </is>
      </c>
      <c r="B38" s="7" t="inlineStr">
        <is>
          <t>Concession Years Remaining</t>
        </is>
      </c>
      <c r="C38" s="7" t="inlineStr">
        <is>
          <t>management_case</t>
        </is>
      </c>
      <c r="D38" s="7" t="n"/>
      <c r="E38" s="7" t="n"/>
      <c r="F38" s="7" t="inlineStr">
        <is>
          <t>FY2053</t>
        </is>
      </c>
      <c r="G38" s="7" t="n">
        <v>34</v>
      </c>
    </row>
    <row r="39">
      <c r="A39" s="7" t="inlineStr">
        <is>
          <t>sector_kpi_4</t>
        </is>
      </c>
      <c r="B39" s="7" t="inlineStr">
        <is>
          <t>Concession Years Remaining</t>
        </is>
      </c>
      <c r="C39" s="7" t="inlineStr">
        <is>
          <t>management_case</t>
        </is>
      </c>
      <c r="D39" s="7" t="n"/>
      <c r="E39" s="7" t="n"/>
      <c r="F39" s="7" t="inlineStr">
        <is>
          <t>FY2054</t>
        </is>
      </c>
      <c r="G39" s="7" t="n">
        <v>33</v>
      </c>
    </row>
    <row r="40">
      <c r="A40" s="7" t="inlineStr">
        <is>
          <t>sector_kpi_4</t>
        </is>
      </c>
      <c r="B40" s="7" t="inlineStr">
        <is>
          <t>Concession Years Remaining</t>
        </is>
      </c>
      <c r="C40" s="7" t="inlineStr">
        <is>
          <t>management_case</t>
        </is>
      </c>
      <c r="D40" s="7" t="n"/>
      <c r="E40" s="7" t="n"/>
      <c r="F40" s="7" t="inlineStr">
        <is>
          <t>FY2055</t>
        </is>
      </c>
      <c r="G40" s="7" t="n">
        <v>32</v>
      </c>
    </row>
    <row r="41">
      <c r="A41" s="7" t="inlineStr">
        <is>
          <t>sector_kpi_4</t>
        </is>
      </c>
      <c r="B41" s="7" t="inlineStr">
        <is>
          <t>Concession Years Remaining</t>
        </is>
      </c>
      <c r="C41" s="7" t="inlineStr">
        <is>
          <t>management_case</t>
        </is>
      </c>
      <c r="D41" s="7" t="n"/>
      <c r="E41" s="7" t="n"/>
      <c r="F41" s="7" t="inlineStr">
        <is>
          <t>FY2056</t>
        </is>
      </c>
      <c r="G41" s="7" t="n">
        <v>31</v>
      </c>
    </row>
    <row r="42">
      <c r="A42" s="7" t="inlineStr">
        <is>
          <t>sector_kpi_4</t>
        </is>
      </c>
      <c r="B42" s="7" t="inlineStr">
        <is>
          <t>Concession Years Remaining</t>
        </is>
      </c>
      <c r="C42" s="7" t="inlineStr">
        <is>
          <t>management_case</t>
        </is>
      </c>
      <c r="D42" s="7" t="n"/>
      <c r="E42" s="7" t="n"/>
      <c r="F42" s="7" t="inlineStr">
        <is>
          <t>FY2057</t>
        </is>
      </c>
      <c r="G42" s="7" t="n">
        <v>30</v>
      </c>
    </row>
    <row r="43">
      <c r="A43" s="7" t="inlineStr">
        <is>
          <t>sector_kpi_4</t>
        </is>
      </c>
      <c r="B43" s="7" t="inlineStr">
        <is>
          <t>Concession Years Remaining</t>
        </is>
      </c>
      <c r="C43" s="7" t="inlineStr">
        <is>
          <t>management_case</t>
        </is>
      </c>
      <c r="D43" s="7" t="n"/>
      <c r="E43" s="7" t="n"/>
      <c r="F43" s="7" t="inlineStr">
        <is>
          <t>FY2058</t>
        </is>
      </c>
      <c r="G43" s="7" t="n">
        <v>29</v>
      </c>
    </row>
    <row r="44">
      <c r="A44" s="7" t="inlineStr">
        <is>
          <t>sector_kpi_4</t>
        </is>
      </c>
      <c r="B44" s="7" t="inlineStr">
        <is>
          <t>Concession Years Remaining</t>
        </is>
      </c>
      <c r="C44" s="7" t="inlineStr">
        <is>
          <t>management_case</t>
        </is>
      </c>
      <c r="D44" s="7" t="n"/>
      <c r="E44" s="7" t="n"/>
      <c r="F44" s="7" t="inlineStr">
        <is>
          <t>FY2059</t>
        </is>
      </c>
      <c r="G44" s="7" t="n">
        <v>28</v>
      </c>
    </row>
    <row r="45">
      <c r="A45" s="7" t="inlineStr">
        <is>
          <t>sector_kpi_4</t>
        </is>
      </c>
      <c r="B45" s="7" t="inlineStr">
        <is>
          <t>Concession Years Remaining</t>
        </is>
      </c>
      <c r="C45" s="7" t="inlineStr">
        <is>
          <t>management_case</t>
        </is>
      </c>
      <c r="D45" s="7" t="n"/>
      <c r="E45" s="7" t="n"/>
      <c r="F45" s="7" t="inlineStr">
        <is>
          <t>FY2060</t>
        </is>
      </c>
      <c r="G45" s="7" t="n">
        <v>27</v>
      </c>
    </row>
    <row r="46">
      <c r="A46" s="7" t="inlineStr">
        <is>
          <t>sector_kpi_4</t>
        </is>
      </c>
      <c r="B46" s="7" t="inlineStr">
        <is>
          <t>Concession Years Remaining</t>
        </is>
      </c>
      <c r="C46" s="7" t="inlineStr">
        <is>
          <t>management_case</t>
        </is>
      </c>
      <c r="D46" s="7" t="n"/>
      <c r="E46" s="7" t="n"/>
      <c r="F46" s="7" t="inlineStr">
        <is>
          <t>FY2061</t>
        </is>
      </c>
      <c r="G46" s="7" t="n">
        <v>26</v>
      </c>
    </row>
    <row r="47">
      <c r="A47" s="7" t="inlineStr">
        <is>
          <t>sector_kpi_4</t>
        </is>
      </c>
      <c r="B47" s="7" t="inlineStr">
        <is>
          <t>Concession Years Remaining</t>
        </is>
      </c>
      <c r="C47" s="7" t="inlineStr">
        <is>
          <t>management_case</t>
        </is>
      </c>
      <c r="D47" s="7" t="n"/>
      <c r="E47" s="7" t="n"/>
      <c r="F47" s="7" t="inlineStr">
        <is>
          <t>FY2062</t>
        </is>
      </c>
      <c r="G47" s="7" t="n">
        <v>25</v>
      </c>
    </row>
    <row r="48">
      <c r="A48" s="7" t="inlineStr">
        <is>
          <t>sector_kpi_4</t>
        </is>
      </c>
      <c r="B48" s="7" t="inlineStr">
        <is>
          <t>Concession Years Remaining</t>
        </is>
      </c>
      <c r="C48" s="7" t="inlineStr">
        <is>
          <t>management_case</t>
        </is>
      </c>
      <c r="D48" s="7" t="n"/>
      <c r="E48" s="7" t="n"/>
      <c r="F48" s="7" t="inlineStr">
        <is>
          <t>FY2063</t>
        </is>
      </c>
      <c r="G48" s="7" t="n">
        <v>24</v>
      </c>
    </row>
    <row r="49">
      <c r="A49" s="7" t="inlineStr">
        <is>
          <t>sector_kpi_4</t>
        </is>
      </c>
      <c r="B49" s="7" t="inlineStr">
        <is>
          <t>Concession Years Remaining</t>
        </is>
      </c>
      <c r="C49" s="7" t="inlineStr">
        <is>
          <t>management_case</t>
        </is>
      </c>
      <c r="D49" s="7" t="n"/>
      <c r="E49" s="7" t="n"/>
      <c r="F49" s="7" t="inlineStr">
        <is>
          <t>FY2064</t>
        </is>
      </c>
      <c r="G49" s="7" t="n">
        <v>23</v>
      </c>
    </row>
    <row r="50">
      <c r="A50" s="7" t="inlineStr">
        <is>
          <t>sector_kpi_4</t>
        </is>
      </c>
      <c r="B50" s="7" t="inlineStr">
        <is>
          <t>Concession Years Remaining</t>
        </is>
      </c>
      <c r="C50" s="7" t="inlineStr">
        <is>
          <t>management_case</t>
        </is>
      </c>
      <c r="D50" s="7" t="n"/>
      <c r="E50" s="7" t="n"/>
      <c r="F50" s="7" t="inlineStr">
        <is>
          <t>FY2065</t>
        </is>
      </c>
      <c r="G50" s="7" t="n">
        <v>22</v>
      </c>
    </row>
    <row r="51">
      <c r="A51" s="7" t="inlineStr">
        <is>
          <t>sector_kpi_4</t>
        </is>
      </c>
      <c r="B51" s="7" t="inlineStr">
        <is>
          <t>Concession Years Remaining</t>
        </is>
      </c>
      <c r="C51" s="7" t="inlineStr">
        <is>
          <t>management_case</t>
        </is>
      </c>
      <c r="D51" s="7" t="n"/>
      <c r="E51" s="7" t="n"/>
      <c r="F51" s="7" t="inlineStr">
        <is>
          <t>FY2066</t>
        </is>
      </c>
      <c r="G51" s="7" t="n">
        <v>21</v>
      </c>
    </row>
    <row r="52">
      <c r="A52" s="7" t="inlineStr">
        <is>
          <t>sector_kpi_4</t>
        </is>
      </c>
      <c r="B52" s="7" t="inlineStr">
        <is>
          <t>Concession Years Remaining</t>
        </is>
      </c>
      <c r="C52" s="7" t="inlineStr">
        <is>
          <t>management_case</t>
        </is>
      </c>
      <c r="D52" s="7" t="n"/>
      <c r="E52" s="7" t="n"/>
      <c r="F52" s="7" t="inlineStr">
        <is>
          <t>FY2067</t>
        </is>
      </c>
      <c r="G52" s="7" t="n">
        <v>20</v>
      </c>
    </row>
    <row r="53">
      <c r="A53" s="7" t="inlineStr">
        <is>
          <t>sector_kpi_4</t>
        </is>
      </c>
      <c r="B53" s="7" t="inlineStr">
        <is>
          <t>Concession Years Remaining</t>
        </is>
      </c>
      <c r="C53" s="7" t="inlineStr">
        <is>
          <t>management_case</t>
        </is>
      </c>
      <c r="D53" s="7" t="n"/>
      <c r="E53" s="7" t="n"/>
      <c r="F53" s="7" t="inlineStr">
        <is>
          <t>FY2068</t>
        </is>
      </c>
      <c r="G53" s="7" t="n">
        <v>19</v>
      </c>
    </row>
    <row r="54">
      <c r="A54" s="7" t="inlineStr">
        <is>
          <t>sector_kpi_4</t>
        </is>
      </c>
      <c r="B54" s="7" t="inlineStr">
        <is>
          <t>Concession Years Remaining</t>
        </is>
      </c>
      <c r="C54" s="7" t="inlineStr">
        <is>
          <t>management_case</t>
        </is>
      </c>
      <c r="D54" s="7" t="n"/>
      <c r="E54" s="7" t="n"/>
      <c r="F54" s="7" t="inlineStr">
        <is>
          <t>FY2069</t>
        </is>
      </c>
      <c r="G54" s="7" t="n">
        <v>18</v>
      </c>
    </row>
    <row r="55">
      <c r="A55" s="7" t="inlineStr">
        <is>
          <t>sector_kpi_4</t>
        </is>
      </c>
      <c r="B55" s="7" t="inlineStr">
        <is>
          <t>Concession Years Remaining</t>
        </is>
      </c>
      <c r="C55" s="7" t="inlineStr">
        <is>
          <t>management_case</t>
        </is>
      </c>
      <c r="D55" s="7" t="n"/>
      <c r="E55" s="7" t="n"/>
      <c r="F55" s="7" t="inlineStr">
        <is>
          <t>FY2070</t>
        </is>
      </c>
      <c r="G55" s="7" t="n">
        <v>17</v>
      </c>
    </row>
    <row r="56">
      <c r="A56" s="7" t="inlineStr">
        <is>
          <t>sector_kpi_4</t>
        </is>
      </c>
      <c r="B56" s="7" t="inlineStr">
        <is>
          <t>Concession Years Remaining</t>
        </is>
      </c>
      <c r="C56" s="7" t="inlineStr">
        <is>
          <t>management_case</t>
        </is>
      </c>
      <c r="D56" s="7" t="n"/>
      <c r="E56" s="7" t="n"/>
      <c r="F56" s="7" t="inlineStr">
        <is>
          <t>FY2071</t>
        </is>
      </c>
      <c r="G56" s="7" t="n">
        <v>16</v>
      </c>
    </row>
    <row r="57">
      <c r="A57" s="7" t="inlineStr">
        <is>
          <t>sector_kpi_4</t>
        </is>
      </c>
      <c r="B57" s="7" t="inlineStr">
        <is>
          <t>Concession Years Remaining</t>
        </is>
      </c>
      <c r="C57" s="7" t="inlineStr">
        <is>
          <t>management_case</t>
        </is>
      </c>
      <c r="D57" s="7" t="n"/>
      <c r="E57" s="7" t="n"/>
      <c r="F57" s="7" t="inlineStr">
        <is>
          <t>FY2072</t>
        </is>
      </c>
      <c r="G57" s="7" t="n">
        <v>15</v>
      </c>
    </row>
    <row r="58">
      <c r="A58" s="7" t="inlineStr">
        <is>
          <t>sector_kpi_4</t>
        </is>
      </c>
      <c r="B58" s="7" t="inlineStr">
        <is>
          <t>Concession Years Remaining</t>
        </is>
      </c>
      <c r="C58" s="7" t="inlineStr">
        <is>
          <t>management_case</t>
        </is>
      </c>
      <c r="D58" s="7" t="n"/>
      <c r="E58" s="7" t="n"/>
      <c r="F58" s="7" t="inlineStr">
        <is>
          <t>FY2073</t>
        </is>
      </c>
      <c r="G58" s="7" t="n">
        <v>14</v>
      </c>
    </row>
    <row r="59">
      <c r="A59" s="7" t="inlineStr">
        <is>
          <t>sector_kpi_4</t>
        </is>
      </c>
      <c r="B59" s="7" t="inlineStr">
        <is>
          <t>Concession Years Remaining</t>
        </is>
      </c>
      <c r="C59" s="7" t="inlineStr">
        <is>
          <t>management_case</t>
        </is>
      </c>
      <c r="D59" s="7" t="n"/>
      <c r="E59" s="7" t="n"/>
      <c r="F59" s="7" t="inlineStr">
        <is>
          <t>FY2074</t>
        </is>
      </c>
      <c r="G59" s="7" t="n">
        <v>13</v>
      </c>
    </row>
    <row r="60">
      <c r="A60" s="7" t="inlineStr">
        <is>
          <t>sector_kpi_4</t>
        </is>
      </c>
      <c r="B60" s="7" t="inlineStr">
        <is>
          <t>Concession Years Remaining</t>
        </is>
      </c>
      <c r="C60" s="7" t="inlineStr">
        <is>
          <t>management_case</t>
        </is>
      </c>
      <c r="D60" s="7" t="n"/>
      <c r="E60" s="7" t="n"/>
      <c r="F60" s="7" t="inlineStr">
        <is>
          <t>FY2075</t>
        </is>
      </c>
      <c r="G60" s="7" t="n">
        <v>12</v>
      </c>
    </row>
    <row r="61">
      <c r="A61" s="7" t="inlineStr">
        <is>
          <t>sector_kpi_4</t>
        </is>
      </c>
      <c r="B61" s="7" t="inlineStr">
        <is>
          <t>Concession Years Remaining</t>
        </is>
      </c>
      <c r="C61" s="7" t="inlineStr">
        <is>
          <t>management_case</t>
        </is>
      </c>
      <c r="D61" s="7" t="n"/>
      <c r="E61" s="7" t="n"/>
      <c r="F61" s="7" t="inlineStr">
        <is>
          <t>FY2076</t>
        </is>
      </c>
      <c r="G61" s="7" t="n">
        <v>11</v>
      </c>
    </row>
    <row r="62">
      <c r="A62" s="7" t="inlineStr">
        <is>
          <t>sector_kpi_4</t>
        </is>
      </c>
      <c r="B62" s="7" t="inlineStr">
        <is>
          <t>Concession Years Remaining</t>
        </is>
      </c>
      <c r="C62" s="7" t="inlineStr">
        <is>
          <t>management_case</t>
        </is>
      </c>
      <c r="D62" s="7" t="n"/>
      <c r="E62" s="7" t="n"/>
      <c r="F62" s="7" t="inlineStr">
        <is>
          <t>FY2077</t>
        </is>
      </c>
      <c r="G62" s="7" t="n">
        <v>10</v>
      </c>
    </row>
    <row r="63">
      <c r="A63" t="inlineStr">
        <is>
          <t>sector_kpi_4</t>
        </is>
      </c>
      <c r="B63" t="inlineStr">
        <is>
          <t>Concession Years Remaining</t>
        </is>
      </c>
      <c r="C63" t="inlineStr">
        <is>
          <t>management_case</t>
        </is>
      </c>
      <c r="F63" t="inlineStr">
        <is>
          <t>FY2078</t>
        </is>
      </c>
      <c r="G63" t="n">
        <v>9</v>
      </c>
    </row>
    <row r="64">
      <c r="A64" t="inlineStr">
        <is>
          <t>sector_kpi_4</t>
        </is>
      </c>
      <c r="B64" t="inlineStr">
        <is>
          <t>Concession Years Remaining</t>
        </is>
      </c>
      <c r="C64" t="inlineStr">
        <is>
          <t>management_case</t>
        </is>
      </c>
      <c r="F64" t="inlineStr">
        <is>
          <t>FY2079</t>
        </is>
      </c>
      <c r="G64" t="n">
        <v>8</v>
      </c>
    </row>
    <row r="65">
      <c r="A65" t="inlineStr">
        <is>
          <t>sector_kpi_4</t>
        </is>
      </c>
      <c r="B65" t="inlineStr">
        <is>
          <t>Concession Years Remaining</t>
        </is>
      </c>
      <c r="C65" t="inlineStr">
        <is>
          <t>management_case</t>
        </is>
      </c>
      <c r="F65" t="inlineStr">
        <is>
          <t>FY2080</t>
        </is>
      </c>
      <c r="G65" t="n">
        <v>7</v>
      </c>
    </row>
    <row r="66">
      <c r="A66" t="inlineStr">
        <is>
          <t>sector_kpi_4</t>
        </is>
      </c>
      <c r="B66" t="inlineStr">
        <is>
          <t>Concession Years Remaining</t>
        </is>
      </c>
      <c r="C66" t="inlineStr">
        <is>
          <t>management_case</t>
        </is>
      </c>
      <c r="F66" t="inlineStr">
        <is>
          <t>FY2081</t>
        </is>
      </c>
      <c r="G66" t="n">
        <v>6</v>
      </c>
    </row>
    <row r="67">
      <c r="A67" t="inlineStr">
        <is>
          <t>sector_kpi_4</t>
        </is>
      </c>
      <c r="B67" t="inlineStr">
        <is>
          <t>Concession Years Remaining</t>
        </is>
      </c>
      <c r="C67" t="inlineStr">
        <is>
          <t>management_case</t>
        </is>
      </c>
      <c r="F67" t="inlineStr">
        <is>
          <t>FY2082</t>
        </is>
      </c>
      <c r="G67" t="n">
        <v>5</v>
      </c>
    </row>
    <row r="68">
      <c r="A68" t="inlineStr">
        <is>
          <t>sector_kpi_4</t>
        </is>
      </c>
      <c r="B68" t="inlineStr">
        <is>
          <t>Concession Years Remaining</t>
        </is>
      </c>
      <c r="C68" t="inlineStr">
        <is>
          <t>management_case</t>
        </is>
      </c>
      <c r="F68" t="inlineStr">
        <is>
          <t>FY2083</t>
        </is>
      </c>
      <c r="G68" t="n">
        <v>4</v>
      </c>
    </row>
    <row r="69">
      <c r="A69" t="inlineStr">
        <is>
          <t>sector_kpi_4</t>
        </is>
      </c>
      <c r="B69" t="inlineStr">
        <is>
          <t>Concession Years Remaining</t>
        </is>
      </c>
      <c r="C69" t="inlineStr">
        <is>
          <t>management_case</t>
        </is>
      </c>
      <c r="F69" t="inlineStr">
        <is>
          <t>FY2084</t>
        </is>
      </c>
      <c r="G69" t="n">
        <v>3</v>
      </c>
    </row>
    <row r="70">
      <c r="A70" t="inlineStr">
        <is>
          <t>sector_kpi_4</t>
        </is>
      </c>
      <c r="B70" t="inlineStr">
        <is>
          <t>Concession Years Remaining</t>
        </is>
      </c>
      <c r="C70" t="inlineStr">
        <is>
          <t>management_case</t>
        </is>
      </c>
      <c r="F70" t="inlineStr">
        <is>
          <t>FY2085</t>
        </is>
      </c>
      <c r="G70" t="n">
        <v>2</v>
      </c>
    </row>
    <row r="71">
      <c r="A71" t="inlineStr">
        <is>
          <t>sector_kpi_4</t>
        </is>
      </c>
      <c r="B71" t="inlineStr">
        <is>
          <t>Concession Years Remaining</t>
        </is>
      </c>
      <c r="C71" t="inlineStr">
        <is>
          <t>management_case</t>
        </is>
      </c>
      <c r="F71" t="inlineStr">
        <is>
          <t>FY2086</t>
        </is>
      </c>
      <c r="G71" t="n">
        <v>1</v>
      </c>
    </row>
  </sheetData>
  <mergeCells count="1">
    <mergeCell ref="A1:G1"/>
  </mergeCells>
  <dataValidations count="2">
    <dataValidation sqref="A3 A4 A5 A6 A7 A8 A9 A10 A11 A12 A13 A14 A15 A16 A17 A18 A19 A20 A21 A22 A23 A24 A25 A26 A27 A28 A29 A30 A31 A32 A33 A34 A35 A36 A37 A38 A39 A40 A41 A42 A43 A44 A45 A46 A47 A48 A49 A50 A51 A52 A53 A54 A55 A56 A57 A58 A59 A60 A61 A62" showDropDown="0" showInputMessage="0" showErrorMessage="0" allowBlank="0" type="list">
      <formula1>"sector_kpi_1,sector_kpi_2,sector_kpi_3,sector_kpi_4,sector_kpi_5,sector_kpi_6,sector_kpi_7,sector_kpi_8,sector_kpi_9,sector_kpi_10"</formula1>
    </dataValidation>
    <dataValidation sqref="C3 C4 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"management_case,single_variant_stress,combined_downside,credit_case,lender_case,custom"</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25" customWidth="1" min="1" max="1"/>
    <col width="60" customWidth="1" min="2" max="2"/>
    <col width="40" customWidth="1" min="3" max="3"/>
  </cols>
  <sheetData>
    <row r="1">
      <c r="A1" s="1" t="inlineStr">
        <is>
          <t>SECTOR TEMPLATE CONFIGURATION — Line item labels for this deal</t>
        </is>
      </c>
    </row>
    <row r="2">
      <c r="A2" s="3" t="inlineStr">
        <is>
          <t>Field</t>
        </is>
      </c>
      <c r="B2" s="3" t="inlineStr">
        <is>
          <t>Value</t>
        </is>
      </c>
      <c r="C2" s="3" t="inlineStr">
        <is>
          <t>Guidance</t>
        </is>
      </c>
    </row>
    <row r="3">
      <c r="A3" s="6" t="inlineStr">
        <is>
          <t>Sector Template *</t>
        </is>
      </c>
      <c r="B3" s="7" t="inlineStr">
        <is>
          <t>toll_road</t>
        </is>
      </c>
      <c r="C3" s="8" t="inlineStr">
        <is>
          <t>Select from dropdown</t>
        </is>
      </c>
    </row>
    <row r="4"/>
    <row r="5">
      <c r="A5" s="4" t="inlineStr">
        <is>
          <t>REVENUE LINES (up to 8, comma-separated)</t>
        </is>
      </c>
      <c r="B5" s="27" t="n"/>
      <c r="C5" s="28" t="n"/>
    </row>
    <row r="6">
      <c r="A6" s="9" t="inlineStr">
        <is>
          <t>Revenue Line 1</t>
        </is>
      </c>
      <c r="B6" s="7" t="n"/>
      <c r="C6" s="8" t="inlineStr">
        <is>
          <t>e.g. PPA Revenue (Contracted)</t>
        </is>
      </c>
    </row>
    <row r="7">
      <c r="A7" s="9" t="inlineStr">
        <is>
          <t>Revenue Line 2</t>
        </is>
      </c>
      <c r="B7" s="7" t="n"/>
      <c r="C7" s="8" t="inlineStr">
        <is>
          <t>e.g. Merchant Revenue</t>
        </is>
      </c>
    </row>
    <row r="8">
      <c r="A8" s="9" t="inlineStr">
        <is>
          <t>Revenue Line 3</t>
        </is>
      </c>
      <c r="B8" s="7" t="n"/>
      <c r="C8" s="8" t="inlineStr"/>
    </row>
    <row r="9">
      <c r="A9" s="9" t="inlineStr">
        <is>
          <t>Revenue Line 4</t>
        </is>
      </c>
      <c r="B9" s="7" t="n"/>
      <c r="C9" s="8" t="inlineStr"/>
    </row>
    <row r="10">
      <c r="A10" s="9" t="inlineStr">
        <is>
          <t>Revenue Line 5</t>
        </is>
      </c>
      <c r="B10" s="7" t="n"/>
      <c r="C10" s="8" t="inlineStr"/>
    </row>
    <row r="11">
      <c r="A11" s="9" t="inlineStr">
        <is>
          <t>Revenue Line 6</t>
        </is>
      </c>
      <c r="B11" s="7" t="n"/>
      <c r="C11" s="8" t="inlineStr"/>
    </row>
    <row r="12">
      <c r="A12" s="9" t="inlineStr">
        <is>
          <t>Revenue Line 7</t>
        </is>
      </c>
      <c r="B12" s="7" t="n"/>
      <c r="C12" s="8" t="inlineStr"/>
    </row>
    <row r="13">
      <c r="A13" s="9" t="inlineStr">
        <is>
          <t>Revenue Line 8 (Other Revenue)</t>
        </is>
      </c>
      <c r="B13" s="7" t="n"/>
      <c r="C13" s="8" t="inlineStr"/>
    </row>
    <row r="14"/>
    <row r="15">
      <c r="A15" s="4" t="inlineStr">
        <is>
          <t>COST LINES (up to 12)</t>
        </is>
      </c>
      <c r="B15" s="27" t="n"/>
      <c r="C15" s="28" t="n"/>
    </row>
    <row r="16">
      <c r="A16" s="9" t="inlineStr">
        <is>
          <t>Cost Line 1 (e.g. Power Cost)</t>
        </is>
      </c>
      <c r="B16" s="7" t="n"/>
      <c r="C16" s="8" t="inlineStr"/>
    </row>
    <row r="17">
      <c r="A17" s="9" t="inlineStr">
        <is>
          <t>Cost Line 2</t>
        </is>
      </c>
      <c r="B17" s="7" t="n"/>
      <c r="C17" s="8" t="inlineStr"/>
    </row>
    <row r="18">
      <c r="A18" s="9" t="inlineStr">
        <is>
          <t>Cost Line 3</t>
        </is>
      </c>
      <c r="B18" s="7" t="n"/>
      <c r="C18" s="8" t="inlineStr"/>
    </row>
    <row r="19">
      <c r="A19" s="9" t="inlineStr">
        <is>
          <t>Cost Line 4</t>
        </is>
      </c>
      <c r="B19" s="7" t="n"/>
      <c r="C19" s="8" t="inlineStr"/>
    </row>
    <row r="20">
      <c r="A20" s="9" t="inlineStr">
        <is>
          <t>Cost Line 5</t>
        </is>
      </c>
      <c r="B20" s="7" t="n"/>
      <c r="C20" s="8" t="inlineStr"/>
    </row>
    <row r="21">
      <c r="A21" s="9" t="inlineStr">
        <is>
          <t>Cost Line 6</t>
        </is>
      </c>
      <c r="B21" s="7" t="n"/>
      <c r="C21" s="8" t="inlineStr"/>
    </row>
    <row r="22">
      <c r="A22" s="9" t="inlineStr">
        <is>
          <t>Cost Line 7</t>
        </is>
      </c>
      <c r="B22" s="7" t="n"/>
      <c r="C22" s="8" t="inlineStr"/>
    </row>
    <row r="23">
      <c r="A23" s="9" t="inlineStr">
        <is>
          <t>Cost Line 8</t>
        </is>
      </c>
      <c r="B23" s="7" t="n"/>
      <c r="C23" s="8" t="inlineStr"/>
    </row>
    <row r="24">
      <c r="A24" s="9" t="inlineStr">
        <is>
          <t>Cost Line 9</t>
        </is>
      </c>
      <c r="B24" s="7" t="n"/>
      <c r="C24" s="8" t="inlineStr"/>
    </row>
    <row r="25">
      <c r="A25" s="9" t="inlineStr">
        <is>
          <t>Cost Line 10</t>
        </is>
      </c>
      <c r="B25" s="7" t="n"/>
      <c r="C25" s="8" t="inlineStr"/>
    </row>
    <row r="26">
      <c r="A26" s="9" t="inlineStr">
        <is>
          <t>Cost Line 11</t>
        </is>
      </c>
      <c r="B26" s="7" t="n"/>
      <c r="C26" s="8" t="inlineStr"/>
    </row>
    <row r="27">
      <c r="A27" s="9" t="inlineStr">
        <is>
          <t>Cost Line 12 (Other Opex)</t>
        </is>
      </c>
      <c r="B27" s="7" t="n"/>
      <c r="C27" s="8" t="inlineStr"/>
    </row>
    <row r="28"/>
    <row r="29">
      <c r="A29" s="4" t="inlineStr">
        <is>
          <t>GROWTH CAPEX LINES (up to 5)</t>
        </is>
      </c>
      <c r="B29" s="27" t="n"/>
      <c r="C29" s="28" t="n"/>
    </row>
    <row r="30">
      <c r="A30" s="9" t="inlineStr">
        <is>
          <t>Growth Capex Line 1</t>
        </is>
      </c>
      <c r="B30" s="7" t="n"/>
      <c r="C30" s="8" t="inlineStr"/>
    </row>
    <row r="31">
      <c r="A31" s="9" t="inlineStr">
        <is>
          <t>Growth Capex Line 2</t>
        </is>
      </c>
      <c r="B31" s="7" t="n"/>
      <c r="C31" s="8" t="inlineStr"/>
    </row>
    <row r="32">
      <c r="A32" s="9" t="inlineStr">
        <is>
          <t>Growth Capex Line 3</t>
        </is>
      </c>
      <c r="B32" s="7" t="n"/>
      <c r="C32" s="8" t="inlineStr"/>
    </row>
    <row r="33">
      <c r="A33" s="9" t="inlineStr">
        <is>
          <t>Growth Capex Line 4</t>
        </is>
      </c>
      <c r="B33" s="7" t="n"/>
      <c r="C33" s="8" t="inlineStr"/>
    </row>
    <row r="34">
      <c r="A34" s="9" t="inlineStr">
        <is>
          <t>Growth Capex Line 5</t>
        </is>
      </c>
      <c r="B34" s="7" t="n"/>
      <c r="C34" s="8" t="inlineStr"/>
    </row>
    <row r="35"/>
    <row r="36">
      <c r="A36" s="4" t="inlineStr">
        <is>
          <t>MAINTENANCE CAPEX LINES (up to 5)</t>
        </is>
      </c>
      <c r="B36" s="27" t="n"/>
      <c r="C36" s="28" t="n"/>
    </row>
    <row r="37">
      <c r="A37" s="9" t="inlineStr">
        <is>
          <t>Maintenance Capex Line 1</t>
        </is>
      </c>
      <c r="B37" s="7" t="n"/>
      <c r="C37" s="8" t="inlineStr"/>
    </row>
    <row r="38">
      <c r="A38" s="9" t="inlineStr">
        <is>
          <t>Maintenance Capex Line 2</t>
        </is>
      </c>
      <c r="B38" s="7" t="n"/>
      <c r="C38" s="8" t="inlineStr"/>
    </row>
    <row r="39">
      <c r="A39" s="9" t="inlineStr">
        <is>
          <t>Maintenance Capex Line 3</t>
        </is>
      </c>
      <c r="B39" s="7" t="n"/>
      <c r="C39" s="8" t="inlineStr"/>
    </row>
    <row r="40">
      <c r="A40" s="9" t="inlineStr">
        <is>
          <t>Maintenance Capex Line 4</t>
        </is>
      </c>
      <c r="B40" s="7" t="n"/>
      <c r="C40" s="8" t="inlineStr"/>
    </row>
    <row r="41">
      <c r="A41" s="9" t="inlineStr">
        <is>
          <t>Maintenance Capex Line 5</t>
        </is>
      </c>
      <c r="B41" s="7" t="n"/>
      <c r="C41" s="8" t="inlineStr"/>
    </row>
    <row r="42"/>
    <row r="43">
      <c r="A43" s="4" t="inlineStr">
        <is>
          <t>SECTOR KPI LABELS (up to 10)</t>
        </is>
      </c>
      <c r="B43" s="27" t="n"/>
      <c r="C43" s="28" t="n"/>
    </row>
    <row r="44">
      <c r="A44" s="9" t="inlineStr">
        <is>
          <t>Sector KPI 1</t>
        </is>
      </c>
      <c r="B44" s="7" t="n"/>
      <c r="C44" s="8" t="inlineStr"/>
    </row>
    <row r="45">
      <c r="A45" s="9" t="inlineStr">
        <is>
          <t>Sector KPI 2</t>
        </is>
      </c>
      <c r="B45" s="7" t="n"/>
      <c r="C45" s="8" t="inlineStr"/>
    </row>
    <row r="46">
      <c r="A46" s="9" t="inlineStr">
        <is>
          <t>Sector KPI 3</t>
        </is>
      </c>
      <c r="B46" s="7" t="n"/>
      <c r="C46" s="8" t="inlineStr"/>
    </row>
    <row r="47">
      <c r="A47" s="9" t="inlineStr">
        <is>
          <t>Sector KPI 4</t>
        </is>
      </c>
      <c r="B47" s="7" t="n"/>
      <c r="C47" s="8" t="inlineStr"/>
    </row>
    <row r="48">
      <c r="A48" s="9" t="inlineStr">
        <is>
          <t>Sector KPI 5</t>
        </is>
      </c>
      <c r="B48" s="7" t="n"/>
      <c r="C48" s="8" t="inlineStr"/>
    </row>
    <row r="49">
      <c r="A49" s="9" t="inlineStr">
        <is>
          <t>Sector KPI 6</t>
        </is>
      </c>
      <c r="B49" s="7" t="n"/>
      <c r="C49" s="8" t="inlineStr"/>
    </row>
    <row r="50">
      <c r="A50" s="9" t="inlineStr">
        <is>
          <t>Sector KPI 7</t>
        </is>
      </c>
      <c r="B50" s="7" t="n"/>
      <c r="C50" s="8" t="inlineStr"/>
    </row>
    <row r="51">
      <c r="A51" s="9" t="inlineStr">
        <is>
          <t>Sector KPI 8</t>
        </is>
      </c>
      <c r="B51" s="7" t="n"/>
      <c r="C51" s="8" t="inlineStr"/>
    </row>
    <row r="52">
      <c r="A52" s="9" t="inlineStr">
        <is>
          <t>Sector KPI 9</t>
        </is>
      </c>
      <c r="B52" s="7" t="n"/>
      <c r="C52" s="8" t="inlineStr"/>
    </row>
    <row r="53">
      <c r="A53" s="9" t="inlineStr">
        <is>
          <t>Sector KPI 10</t>
        </is>
      </c>
      <c r="B53" s="7" t="n"/>
      <c r="C53" s="8" t="inlineStr"/>
    </row>
    <row r="54"/>
    <row r="55"/>
    <row r="56"/>
    <row r="57"/>
    <row r="58"/>
    <row r="59"/>
    <row r="60"/>
    <row r="61"/>
    <row r="62"/>
    <row r="63"/>
    <row r="64"/>
    <row r="65"/>
    <row r="66"/>
    <row r="67"/>
    <row r="68"/>
    <row r="69"/>
    <row r="70"/>
    <row r="71"/>
    <row r="72"/>
    <row r="73"/>
    <row r="74"/>
    <row r="75"/>
    <row r="76"/>
    <row r="77"/>
    <row r="78"/>
    <row r="79"/>
    <row r="80"/>
  </sheetData>
  <mergeCells count="6">
    <mergeCell ref="A36:C36"/>
    <mergeCell ref="A5:C5"/>
    <mergeCell ref="A1:B1"/>
    <mergeCell ref="A29:C29"/>
    <mergeCell ref="A43:C43"/>
    <mergeCell ref="A15:C15"/>
  </mergeCells>
  <dataValidations count="1">
    <dataValidation sqref="B3" showDropDown="0" showInputMessage="0" showErrorMessage="0" allowBlank="0" type="list">
      <formula1>"data_centre,wind_farm,port,airport,toll_road,social_infrastructure,real_estate,clean_tech_hub,solar"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DEVELOPMENT &amp; CONSTRUCTION PHASES</t>
        </is>
      </c>
    </row>
    <row r="2">
      <c r="A2" s="3" t="inlineStr">
        <is>
          <t>Phase #</t>
        </is>
      </c>
      <c r="B2" s="3" t="inlineStr">
        <is>
          <t>Phase Name</t>
        </is>
      </c>
      <c r="C2" s="3" t="inlineStr">
        <is>
          <t>Capex Budget</t>
        </is>
      </c>
      <c r="D2" s="3" t="inlineStr">
        <is>
          <t>Actual Spend</t>
        </is>
      </c>
      <c r="E2" s="3" t="inlineStr">
        <is>
          <t>Variance</t>
        </is>
      </c>
      <c r="F2" s="3" t="inlineStr">
        <is>
          <t>Start Date</t>
        </is>
      </c>
      <c r="G2" s="3" t="inlineStr">
        <is>
          <t>Target End</t>
        </is>
      </c>
      <c r="H2" s="3" t="inlineStr">
        <is>
          <t>Actual End</t>
        </is>
      </c>
      <c r="I2" s="3" t="inlineStr">
        <is>
          <t>Status</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sheetData>
  <mergeCells count="1">
    <mergeCell ref="A1:I1"/>
  </mergeCells>
  <dataValidations count="1">
    <dataValidation sqref="I3 I4 I5 I6 I7 I8" showDropDown="0" showInputMessage="0" showErrorMessage="0" allowBlank="0" type="list">
      <formula1>"planned,active,complete,delayed,not_started"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40" customWidth="1" min="2" max="2"/>
    <col width="45" customWidth="1" min="3" max="3"/>
  </cols>
  <sheetData>
    <row r="1">
      <c r="A1" s="1" t="inlineStr">
        <is>
          <t>CONSENT &amp; VOTING MECHANICS (from finance documentation)</t>
        </is>
      </c>
    </row>
    <row r="2">
      <c r="A2" s="3" t="inlineStr">
        <is>
          <t>Provision</t>
        </is>
      </c>
      <c r="B2" s="3" t="inlineStr">
        <is>
          <t>Value</t>
        </is>
      </c>
      <c r="C2" s="3" t="inlineStr">
        <is>
          <t>Guidance</t>
        </is>
      </c>
    </row>
    <row r="3">
      <c r="A3" s="9" t="inlineStr">
        <is>
          <t>Majority Threshold %</t>
        </is>
      </c>
      <c r="B3" s="7" t="n"/>
      <c r="C3" s="8" t="inlineStr">
        <is>
          <t>e.g. 66.67</t>
        </is>
      </c>
    </row>
    <row r="4">
      <c r="A4" s="9" t="inlineStr">
        <is>
          <t>Supermajority Threshold %</t>
        </is>
      </c>
      <c r="B4" s="7" t="n"/>
      <c r="C4" s="8" t="inlineStr">
        <is>
          <t>e.g. 75 or 90</t>
        </is>
      </c>
    </row>
    <row r="5">
      <c r="A5" s="9" t="inlineStr">
        <is>
          <t>Voting Basis</t>
        </is>
      </c>
      <c r="B5" s="7" t="n"/>
      <c r="C5" s="8" t="inlineStr">
        <is>
          <t>Select from dropdown</t>
        </is>
      </c>
    </row>
    <row r="6">
      <c r="A6" s="9" t="inlineStr">
        <is>
          <t>All-Lender Consent Matters</t>
        </is>
      </c>
      <c r="B6" s="7" t="n"/>
      <c r="C6" s="8" t="inlineStr">
        <is>
          <t>List matters requiring unanimous consent</t>
        </is>
      </c>
    </row>
    <row r="7">
      <c r="A7" s="9" t="inlineStr">
        <is>
          <t>Snooze-You-Lose</t>
        </is>
      </c>
      <c r="B7" s="7" t="n"/>
      <c r="C7" s="8" t="inlineStr">
        <is>
          <t>Yes/No</t>
        </is>
      </c>
    </row>
    <row r="8">
      <c r="A8" s="9" t="inlineStr">
        <is>
          <t>Deemed Consent on Silence</t>
        </is>
      </c>
      <c r="B8" s="7" t="n"/>
      <c r="C8" s="8" t="inlineStr">
        <is>
          <t>Yes/No</t>
        </is>
      </c>
    </row>
    <row r="9">
      <c r="A9" s="9" t="inlineStr">
        <is>
          <t>Yank Clause</t>
        </is>
      </c>
      <c r="B9" s="7" t="n"/>
      <c r="C9" s="8" t="inlineStr">
        <is>
          <t>Yes/No</t>
        </is>
      </c>
    </row>
    <row r="10">
      <c r="A10" s="9" t="inlineStr">
        <is>
          <t>Non-Consenting Replacement Basis</t>
        </is>
      </c>
      <c r="B10" s="7" t="n"/>
      <c r="C10" s="8" t="inlineStr">
        <is>
          <t>par, make_whole, market_value</t>
        </is>
      </c>
    </row>
    <row r="11">
      <c r="A11" s="9" t="inlineStr">
        <is>
          <t>Standard Consent Period (days)</t>
        </is>
      </c>
      <c r="B11" s="7" t="n"/>
      <c r="C11" s="8" t="inlineStr">
        <is>
          <t>e.g. 15, 20, 30</t>
        </is>
      </c>
    </row>
    <row r="12">
      <c r="A12" s="9" t="inlineStr">
        <is>
          <t>Disenfranchisement Triggers</t>
        </is>
      </c>
      <c r="B12" s="7" t="n"/>
      <c r="C12" s="8" t="inlineStr">
        <is>
          <t>Conditions where lender loses voting rights</t>
        </is>
      </c>
    </row>
  </sheetData>
  <mergeCells count="1">
    <mergeCell ref="A1:C1"/>
  </mergeCells>
  <dataValidations count="4">
    <dataValidation sqref="B5" showDropDown="0" showInputMessage="0" showErrorMessage="0" allowBlank="0" type="list">
      <formula1>"by_commitment,by_lender,by_block"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15" customWidth="1" min="2" max="2"/>
    <col width="40" customWidth="1" min="3" max="3"/>
  </cols>
  <sheetData>
    <row r="1">
      <c r="A1" s="1" t="inlineStr">
        <is>
          <t>COMPLETENESS CHECK — Review before submission</t>
        </is>
      </c>
    </row>
    <row r="2">
      <c r="A2" s="3" t="inlineStr">
        <is>
          <t>Section</t>
        </is>
      </c>
      <c r="B2" s="3" t="inlineStr">
        <is>
          <t>Status</t>
        </is>
      </c>
      <c r="C2" s="3" t="inlineStr">
        <is>
          <t>Notes</t>
        </is>
      </c>
    </row>
    <row r="3">
      <c r="A3" s="9" t="inlineStr">
        <is>
          <t>1. Deal Identity</t>
        </is>
      </c>
      <c r="B3" s="13" t="n"/>
      <c r="C3" s="14" t="inlineStr">
        <is>
          <t>Check all * fields are filled</t>
        </is>
      </c>
    </row>
    <row r="4">
      <c r="A4" s="9" t="inlineStr">
        <is>
          <t>2. Capital Structure</t>
        </is>
      </c>
      <c r="B4" s="13" t="n"/>
      <c r="C4" s="14" t="inlineStr">
        <is>
          <t>At least 1 instrument required</t>
        </is>
      </c>
    </row>
    <row r="5">
      <c r="A5" s="9" t="inlineStr">
        <is>
          <t>3. Reserve Accounts</t>
        </is>
      </c>
      <c r="B5" s="13" t="n"/>
      <c r="C5" s="14" t="inlineStr">
        <is>
          <t>DSRA required for most deals</t>
        </is>
      </c>
    </row>
    <row r="6">
      <c r="A6" s="9" t="inlineStr">
        <is>
          <t>4. Counterparties</t>
        </is>
      </c>
      <c r="B6" s="13" t="n"/>
      <c r="C6" s="14" t="inlineStr">
        <is>
          <t>Key offtaker/contractor required</t>
        </is>
      </c>
    </row>
    <row r="7">
      <c r="A7" s="9" t="inlineStr">
        <is>
          <t>5. Hedging</t>
        </is>
      </c>
      <c r="B7" s="13" t="n"/>
      <c r="C7" s="14" t="inlineStr">
        <is>
          <t>If floating rate debt, hedging expected</t>
        </is>
      </c>
    </row>
    <row r="8">
      <c r="A8" s="9" t="inlineStr">
        <is>
          <t>6. Jurisdictions</t>
        </is>
      </c>
      <c r="B8" s="13" t="n"/>
      <c r="C8" s="14" t="inlineStr">
        <is>
          <t>Must sum to 100% per activity type</t>
        </is>
      </c>
    </row>
    <row r="9">
      <c r="A9" s="9" t="inlineStr">
        <is>
          <t>7. Corporate Entities</t>
        </is>
      </c>
      <c r="B9" s="13" t="n"/>
      <c r="C9" s="14" t="inlineStr">
        <is>
          <t>At least borrower SPV</t>
        </is>
      </c>
    </row>
    <row r="10">
      <c r="A10" s="9" t="inlineStr">
        <is>
          <t>8. Covenant Thresholds</t>
        </is>
      </c>
      <c r="B10" s="13" t="n"/>
      <c r="C10" s="14" t="inlineStr">
        <is>
          <t>DSCR covenant required</t>
        </is>
      </c>
    </row>
    <row r="11">
      <c r="A11" s="9" t="inlineStr">
        <is>
          <t>9. KPI Scenario Series</t>
        </is>
      </c>
      <c r="B11" s="13" t="n"/>
      <c r="C11" s="14" t="inlineStr">
        <is>
          <t>Management case + stresses (time series per KPI)</t>
        </is>
      </c>
    </row>
    <row r="12">
      <c r="A12" s="9" t="inlineStr">
        <is>
          <t>10. Financial Template</t>
        </is>
      </c>
      <c r="B12" s="13" t="n"/>
      <c r="C12" s="14" t="inlineStr">
        <is>
          <t>Sector template selection required</t>
        </is>
      </c>
    </row>
    <row r="13">
      <c r="A13" s="9" t="inlineStr">
        <is>
          <t>11. Development Phases</t>
        </is>
      </c>
      <c r="B13" s="13" t="n"/>
      <c r="C13" s="14" t="inlineStr">
        <is>
          <t>If construction phase</t>
        </is>
      </c>
    </row>
    <row r="14">
      <c r="A14" s="9" t="inlineStr">
        <is>
          <t>12. Consent Mechanics</t>
        </is>
      </c>
      <c r="B14" s="13" t="n"/>
      <c r="C14" s="14" t="inlineStr">
        <is>
          <t>Majority threshold required</t>
        </is>
      </c>
    </row>
    <row r="15">
      <c r="A15" s="9" t="inlineStr">
        <is>
          <t>18. Key Risks</t>
        </is>
      </c>
      <c r="B15" s="13" t="n"/>
      <c r="C15" s="14" t="inlineStr">
        <is>
          <t>Top 5-10 risks recommended. Include forecast optimism if relevant.</t>
        </is>
      </c>
    </row>
    <row r="16">
      <c r="A16" s="9" t="inlineStr">
        <is>
          <t>20. Onboarding Snapshot</t>
        </is>
      </c>
      <c r="B16" s="13" t="n"/>
      <c r="C16" s="14" t="inlineStr">
        <is>
          <t>Write-once snapshot frozen at investment. Fill in as much as is available at origination.</t>
        </is>
      </c>
    </row>
    <row r="17">
      <c r="A17" s="9" t="inlineStr">
        <is>
          <t>21. Obligations &amp; Deliverables</t>
        </is>
      </c>
      <c r="B17" s="13" t="n"/>
      <c r="C17" s="14" t="inlineStr">
        <is>
          <t>Record each obligation from finance docs. Pre-populated with 20 common items. Drives the deliverables calendar.</t>
        </is>
      </c>
    </row>
    <row r="18">
      <c r="A18" s="9" t="inlineStr">
        <is>
          <t>22. Distribution Conditions</t>
        </is>
      </c>
      <c r="B18" s="13" t="n"/>
      <c r="C18" s="14" t="inlineStr">
        <is>
          <t>At least 1 condition required. Ratio conditions must match Tab 8 thresholds.</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HOLDINGS — Which accounts hold this deal and how much</t>
        </is>
      </c>
    </row>
    <row r="2">
      <c r="A2" s="3" t="inlineStr">
        <is>
          <t>Account Name</t>
        </is>
      </c>
      <c r="B2" s="3" t="inlineStr">
        <is>
          <t>Holding Amount</t>
        </is>
      </c>
      <c r="C2" s="3" t="inlineStr">
        <is>
          <t>Instrument Name</t>
        </is>
      </c>
      <c r="D2" s="3" t="inlineStr">
        <is>
          <t>Tranche Amount</t>
        </is>
      </c>
      <c r="E2" s="3" t="inlineStr">
        <is>
          <t>Acquisition Date</t>
        </is>
      </c>
      <c r="F2" s="3" t="inlineStr">
        <is>
          <t>Acquisition Price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INVESTOR ALLOCATIONS — External investors and their mandates</t>
        </is>
      </c>
    </row>
    <row r="2">
      <c r="A2" s="3" t="inlineStr">
        <is>
          <t>Investor Name</t>
        </is>
      </c>
      <c r="B2" s="3" t="inlineStr">
        <is>
          <t>Account / Mandate</t>
        </is>
      </c>
      <c r="C2" s="3" t="inlineStr">
        <is>
          <t>Tranche</t>
        </is>
      </c>
      <c r="D2" s="3" t="inlineStr">
        <is>
          <t>Amount</t>
        </is>
      </c>
      <c r="E2" s="3" t="inlineStr">
        <is>
          <t>Mandate Size</t>
        </is>
      </c>
      <c r="F2" s="3" t="inlineStr">
        <is>
          <t>% of Mandate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40" customWidth="1" min="2" max="2"/>
    <col width="45" customWidth="1" min="3" max="3"/>
  </cols>
  <sheetData>
    <row r="1">
      <c r="A1" s="1" t="inlineStr">
        <is>
          <t>INTERCREDITOR TERMS</t>
        </is>
      </c>
    </row>
    <row r="2">
      <c r="A2" s="3" t="inlineStr">
        <is>
          <t>Provision</t>
        </is>
      </c>
      <c r="B2" s="3" t="inlineStr">
        <is>
          <t>Value</t>
        </is>
      </c>
      <c r="C2" s="3" t="inlineStr">
        <is>
          <t>Guidance</t>
        </is>
      </c>
    </row>
    <row r="3">
      <c r="A3" s="9" t="inlineStr">
        <is>
          <t>Agreement Type</t>
        </is>
      </c>
      <c r="B3" s="7" t="n"/>
      <c r="C3" s="8" t="inlineStr">
        <is>
          <t>ICA, STID, Common Terms</t>
        </is>
      </c>
    </row>
    <row r="4">
      <c r="A4" s="9" t="inlineStr">
        <is>
          <t>Governing Law</t>
        </is>
      </c>
      <c r="B4" s="7" t="n"/>
      <c r="C4" s="8" t="inlineStr">
        <is>
          <t>English, New York, etc.</t>
        </is>
      </c>
    </row>
    <row r="5">
      <c r="A5" s="9" t="inlineStr">
        <is>
          <t>Enforcement Standstill (days)</t>
        </is>
      </c>
      <c r="B5" s="7" t="n"/>
      <c r="C5" s="8" t="inlineStr">
        <is>
          <t>e.g. 180</t>
        </is>
      </c>
    </row>
    <row r="6">
      <c r="A6" s="9" t="inlineStr">
        <is>
          <t>Non-Petition Clause</t>
        </is>
      </c>
      <c r="B6" s="7" t="n"/>
      <c r="C6" s="8" t="inlineStr">
        <is>
          <t>Yes/No</t>
        </is>
      </c>
    </row>
    <row r="7">
      <c r="A7" s="9" t="inlineStr">
        <is>
          <t>Turnover Provisions</t>
        </is>
      </c>
      <c r="B7" s="7" t="n"/>
      <c r="C7" s="8" t="inlineStr">
        <is>
          <t>Description</t>
        </is>
      </c>
    </row>
    <row r="8">
      <c r="A8" s="9" t="inlineStr">
        <is>
          <t>Permitted Payments</t>
        </is>
      </c>
      <c r="B8" s="7" t="n"/>
      <c r="C8" s="8" t="inlineStr">
        <is>
          <t>Description</t>
        </is>
      </c>
    </row>
    <row r="9">
      <c r="A9" s="9" t="inlineStr">
        <is>
          <t>Release Conditions</t>
        </is>
      </c>
      <c r="B9" s="7" t="n"/>
      <c r="C9" s="8" t="inlineStr">
        <is>
          <t>Description</t>
        </is>
      </c>
    </row>
    <row r="10">
      <c r="A10" s="9" t="inlineStr">
        <is>
          <t>Subrogation Rights</t>
        </is>
      </c>
      <c r="B10" s="7" t="n"/>
      <c r="C10" s="8" t="inlineStr">
        <is>
          <t>Description</t>
        </is>
      </c>
    </row>
  </sheetData>
  <mergeCells count="1">
    <mergeCell ref="A1:C1"/>
  </mergeCells>
  <dataValidations count="1">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12" customWidth="1" min="2" max="2"/>
    <col width="10" customWidth="1" min="3" max="3"/>
    <col width="35" customWidth="1" min="4" max="4"/>
    <col width="35" customWidth="1" min="5" max="5"/>
    <col width="30" customWidth="1" min="6" max="6"/>
  </cols>
  <sheetData>
    <row r="1">
      <c r="A1" s="1" t="inlineStr">
        <is>
          <t>ENFORCEMENT CLASSES — For multi-class capital structures (WBS, bond structures)</t>
        </is>
      </c>
    </row>
    <row r="2">
      <c r="A2" s="3" t="inlineStr">
        <is>
          <t>Class Name</t>
        </is>
      </c>
      <c r="B2" s="3" t="inlineStr">
        <is>
          <t>Class Code</t>
        </is>
      </c>
      <c r="C2" s="3" t="inlineStr">
        <is>
          <t>Priority</t>
        </is>
      </c>
      <c r="D2" s="3" t="inlineStr">
        <is>
          <t>Included Instruments</t>
        </is>
      </c>
      <c r="E2" s="3" t="inlineStr">
        <is>
          <t>Distribution Conditions</t>
        </is>
      </c>
      <c r="F2" s="3" t="inlineStr">
        <is>
          <t>Notes</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25" customWidth="1" min="2" max="2"/>
    <col width="50" customWidth="1" min="3" max="3"/>
  </cols>
  <sheetData>
    <row r="1">
      <c r="A1" s="1" t="inlineStr">
        <is>
          <t>REPORTING PERIOD CALENDAR — Define the period structure before entering forecast data</t>
        </is>
      </c>
    </row>
    <row r="2">
      <c r="A2" s="3" t="inlineStr">
        <is>
          <t>Field</t>
        </is>
      </c>
      <c r="B2" s="3" t="inlineStr">
        <is>
          <t>Value</t>
        </is>
      </c>
      <c r="C2" s="3" t="inlineStr">
        <is>
          <t>Guidance</t>
        </is>
      </c>
      <c r="D2" s="3" t="n"/>
    </row>
    <row r="3">
      <c r="A3" s="6" t="inlineStr">
        <is>
          <t>Periodicity *</t>
        </is>
      </c>
      <c r="B3" s="7" t="n"/>
      <c r="C3" s="8" t="inlineStr">
        <is>
          <t>Frequency of reporting periods</t>
        </is>
      </c>
    </row>
    <row r="4">
      <c r="A4" s="6" t="inlineStr">
        <is>
          <t>First Period Start *</t>
        </is>
      </c>
      <c r="B4" s="7" t="n"/>
      <c r="C4" s="8" t="inlineStr">
        <is>
          <t>YYYY-MM-DD</t>
        </is>
      </c>
    </row>
    <row r="5">
      <c r="A5" s="6" t="inlineStr">
        <is>
          <t>Final Period End *</t>
        </is>
      </c>
      <c r="B5" s="7" t="n"/>
      <c r="C5" s="8" t="inlineStr">
        <is>
          <t>YYYY-MM-DD (maturity or concession expiry)</t>
        </is>
      </c>
    </row>
    <row r="6">
      <c r="A6" s="6" t="inlineStr">
        <is>
          <t>Fiscal Year End Month *</t>
        </is>
      </c>
      <c r="B6" s="7" t="n"/>
      <c r="C6" s="8" t="inlineStr">
        <is>
          <t>1-12</t>
        </is>
      </c>
    </row>
    <row r="7">
      <c r="A7" s="9" t="inlineStr">
        <is>
          <t>Total Periods</t>
        </is>
      </c>
      <c r="B7" s="7" t="n"/>
      <c r="C7" s="8" t="inlineStr">
        <is>
          <t>Auto-calculated or enter manually (max 80)</t>
        </is>
      </c>
    </row>
    <row r="8">
      <c r="A8" s="9" t="inlineStr">
        <is>
          <t>Reporting Lag Days</t>
        </is>
      </c>
      <c r="B8" s="7" t="n"/>
      <c r="C8" s="8" t="inlineStr">
        <is>
          <t>Days after period end until report expected (default 45)</t>
        </is>
      </c>
    </row>
    <row r="9"/>
    <row r="10">
      <c r="A10" t="n">
        <v>1</v>
      </c>
      <c r="B10" t="inlineStr">
        <is>
          <t>FY2019</t>
        </is>
      </c>
      <c r="C10" t="inlineStr">
        <is>
          <t>2019-01-01</t>
        </is>
      </c>
      <c r="D10" t="inlineStr">
        <is>
          <t>2019-12-31</t>
        </is>
      </c>
    </row>
    <row r="11">
      <c r="A11" s="2" t="inlineStr">
        <is>
          <t>PERIOD HEADERS — Fill in below. These become column headers on forecast tabs. Max 80 periods.</t>
        </is>
      </c>
      <c r="D11" t="inlineStr">
        <is>
          <t>2020-12-31</t>
        </is>
      </c>
    </row>
    <row r="12">
      <c r="A12" s="3" t="n">
        <v>3</v>
      </c>
      <c r="B12" s="3" t="inlineStr">
        <is>
          <t>FY2021</t>
        </is>
      </c>
      <c r="C12" s="3" t="inlineStr">
        <is>
          <t>2021-01-01</t>
        </is>
      </c>
      <c r="D12" s="3" t="inlineStr">
        <is>
          <t>2021-12-31</t>
        </is>
      </c>
    </row>
    <row r="13">
      <c r="A13" s="9" t="n">
        <v>4</v>
      </c>
      <c r="B13" s="7" t="inlineStr">
        <is>
          <t>FY2022</t>
        </is>
      </c>
      <c r="C13" s="7" t="inlineStr">
        <is>
          <t>2022-01-01</t>
        </is>
      </c>
      <c r="D13" s="7" t="inlineStr">
        <is>
          <t>2022-12-31</t>
        </is>
      </c>
    </row>
    <row r="14">
      <c r="A14" s="9" t="n">
        <v>5</v>
      </c>
      <c r="B14" s="7" t="inlineStr">
        <is>
          <t>FY2023</t>
        </is>
      </c>
      <c r="C14" s="7" t="inlineStr">
        <is>
          <t>2023-01-01</t>
        </is>
      </c>
      <c r="D14" s="7" t="inlineStr">
        <is>
          <t>2023-12-31</t>
        </is>
      </c>
    </row>
    <row r="15">
      <c r="A15" s="9" t="n">
        <v>6</v>
      </c>
      <c r="B15" s="7" t="inlineStr">
        <is>
          <t>FY2024</t>
        </is>
      </c>
      <c r="C15" s="7" t="inlineStr">
        <is>
          <t>2024-01-01</t>
        </is>
      </c>
      <c r="D15" s="7" t="inlineStr">
        <is>
          <t>2024-12-31</t>
        </is>
      </c>
    </row>
    <row r="16">
      <c r="A16" s="9" t="n">
        <v>7</v>
      </c>
      <c r="B16" s="7" t="inlineStr">
        <is>
          <t>FY2025</t>
        </is>
      </c>
      <c r="C16" s="7" t="inlineStr">
        <is>
          <t>2025-01-01</t>
        </is>
      </c>
      <c r="D16" s="7" t="inlineStr">
        <is>
          <t>2025-12-31</t>
        </is>
      </c>
    </row>
    <row r="17">
      <c r="A17" s="9" t="n">
        <v>8</v>
      </c>
      <c r="B17" s="7" t="inlineStr">
        <is>
          <t>FY2026</t>
        </is>
      </c>
      <c r="C17" s="7" t="inlineStr">
        <is>
          <t>2026-01-01</t>
        </is>
      </c>
      <c r="D17" s="7" t="inlineStr">
        <is>
          <t>2026-12-31</t>
        </is>
      </c>
    </row>
    <row r="18">
      <c r="A18" s="9" t="n">
        <v>9</v>
      </c>
      <c r="B18" s="7" t="inlineStr">
        <is>
          <t>FY2027</t>
        </is>
      </c>
      <c r="C18" s="7" t="inlineStr">
        <is>
          <t>2027-01-01</t>
        </is>
      </c>
      <c r="D18" s="7" t="inlineStr">
        <is>
          <t>2027-12-31</t>
        </is>
      </c>
    </row>
    <row r="19">
      <c r="A19" s="9" t="n">
        <v>10</v>
      </c>
      <c r="B19" s="7" t="inlineStr">
        <is>
          <t>FY2028</t>
        </is>
      </c>
      <c r="C19" s="7" t="inlineStr">
        <is>
          <t>2028-01-01</t>
        </is>
      </c>
      <c r="D19" s="7" t="inlineStr">
        <is>
          <t>2028-12-31</t>
        </is>
      </c>
    </row>
    <row r="20">
      <c r="A20" s="9" t="n">
        <v>11</v>
      </c>
      <c r="B20" s="7" t="inlineStr">
        <is>
          <t>FY2029</t>
        </is>
      </c>
      <c r="C20" s="7" t="inlineStr">
        <is>
          <t>2029-01-01</t>
        </is>
      </c>
      <c r="D20" s="7" t="inlineStr">
        <is>
          <t>2029-12-31</t>
        </is>
      </c>
    </row>
    <row r="21">
      <c r="A21" s="9" t="n">
        <v>12</v>
      </c>
      <c r="B21" s="7" t="inlineStr">
        <is>
          <t>FY2030</t>
        </is>
      </c>
      <c r="C21" s="7" t="inlineStr">
        <is>
          <t>2030-01-01</t>
        </is>
      </c>
      <c r="D21" s="7" t="inlineStr">
        <is>
          <t>2030-12-31</t>
        </is>
      </c>
    </row>
    <row r="22">
      <c r="A22" s="9" t="n">
        <v>13</v>
      </c>
      <c r="B22" s="7" t="inlineStr">
        <is>
          <t>FY2031</t>
        </is>
      </c>
      <c r="C22" s="7" t="inlineStr">
        <is>
          <t>2031-01-01</t>
        </is>
      </c>
      <c r="D22" s="7" t="inlineStr">
        <is>
          <t>2031-12-31</t>
        </is>
      </c>
    </row>
    <row r="23">
      <c r="A23" s="9" t="n">
        <v>14</v>
      </c>
      <c r="B23" s="7" t="inlineStr">
        <is>
          <t>FY2032</t>
        </is>
      </c>
      <c r="C23" s="7" t="inlineStr">
        <is>
          <t>2032-01-01</t>
        </is>
      </c>
      <c r="D23" s="7" t="inlineStr">
        <is>
          <t>2032-12-31</t>
        </is>
      </c>
    </row>
    <row r="24">
      <c r="A24" s="9" t="n">
        <v>15</v>
      </c>
      <c r="B24" s="7" t="inlineStr">
        <is>
          <t>FY2033</t>
        </is>
      </c>
      <c r="C24" s="7" t="inlineStr">
        <is>
          <t>2033-01-01</t>
        </is>
      </c>
      <c r="D24" s="7" t="inlineStr">
        <is>
          <t>2033-12-31</t>
        </is>
      </c>
    </row>
    <row r="25">
      <c r="A25" s="9" t="n">
        <v>16</v>
      </c>
      <c r="B25" s="7" t="inlineStr">
        <is>
          <t>FY2034</t>
        </is>
      </c>
      <c r="C25" s="7" t="inlineStr">
        <is>
          <t>2034-01-01</t>
        </is>
      </c>
      <c r="D25" s="7" t="inlineStr">
        <is>
          <t>2034-12-31</t>
        </is>
      </c>
    </row>
    <row r="26">
      <c r="A26" s="9" t="n">
        <v>17</v>
      </c>
      <c r="B26" s="7" t="inlineStr">
        <is>
          <t>FY2035</t>
        </is>
      </c>
      <c r="C26" s="7" t="inlineStr">
        <is>
          <t>2035-01-01</t>
        </is>
      </c>
      <c r="D26" s="7" t="inlineStr">
        <is>
          <t>2035-12-31</t>
        </is>
      </c>
    </row>
    <row r="27">
      <c r="A27" s="9" t="n">
        <v>18</v>
      </c>
      <c r="B27" s="7" t="inlineStr">
        <is>
          <t>FY2036</t>
        </is>
      </c>
      <c r="C27" s="7" t="inlineStr">
        <is>
          <t>2036-01-01</t>
        </is>
      </c>
      <c r="D27" s="7" t="inlineStr">
        <is>
          <t>2036-12-31</t>
        </is>
      </c>
    </row>
    <row r="28">
      <c r="A28" s="9" t="n">
        <v>19</v>
      </c>
      <c r="B28" s="7" t="inlineStr">
        <is>
          <t>FY2037</t>
        </is>
      </c>
      <c r="C28" s="7" t="inlineStr">
        <is>
          <t>2037-01-01</t>
        </is>
      </c>
      <c r="D28" s="7" t="inlineStr">
        <is>
          <t>2037-12-31</t>
        </is>
      </c>
    </row>
    <row r="29">
      <c r="A29" s="9" t="n">
        <v>20</v>
      </c>
      <c r="B29" s="7" t="inlineStr">
        <is>
          <t>FY2038</t>
        </is>
      </c>
      <c r="C29" s="7" t="inlineStr">
        <is>
          <t>2038-01-01</t>
        </is>
      </c>
      <c r="D29" s="7" t="inlineStr">
        <is>
          <t>2038-12-31</t>
        </is>
      </c>
    </row>
    <row r="30">
      <c r="A30" s="9" t="n">
        <v>21</v>
      </c>
      <c r="B30" s="7" t="inlineStr">
        <is>
          <t>FY2039</t>
        </is>
      </c>
      <c r="C30" s="7" t="inlineStr">
        <is>
          <t>2039-01-01</t>
        </is>
      </c>
      <c r="D30" s="7" t="inlineStr">
        <is>
          <t>2039-12-31</t>
        </is>
      </c>
    </row>
    <row r="31">
      <c r="A31" s="9" t="n">
        <v>22</v>
      </c>
      <c r="B31" s="7" t="inlineStr">
        <is>
          <t>FY2040</t>
        </is>
      </c>
      <c r="C31" s="7" t="inlineStr">
        <is>
          <t>2040-01-01</t>
        </is>
      </c>
      <c r="D31" s="7" t="inlineStr">
        <is>
          <t>2040-12-31</t>
        </is>
      </c>
    </row>
    <row r="32">
      <c r="A32" s="9" t="n">
        <v>23</v>
      </c>
      <c r="B32" s="7" t="inlineStr">
        <is>
          <t>FY2041</t>
        </is>
      </c>
      <c r="C32" s="7" t="inlineStr">
        <is>
          <t>2041-01-01</t>
        </is>
      </c>
      <c r="D32" s="7" t="inlineStr">
        <is>
          <t>2041-12-31</t>
        </is>
      </c>
    </row>
    <row r="33">
      <c r="A33" s="9" t="n">
        <v>24</v>
      </c>
      <c r="B33" s="7" t="inlineStr">
        <is>
          <t>FY2042</t>
        </is>
      </c>
      <c r="C33" s="7" t="inlineStr">
        <is>
          <t>2042-01-01</t>
        </is>
      </c>
      <c r="D33" s="7" t="inlineStr">
        <is>
          <t>2042-12-31</t>
        </is>
      </c>
    </row>
    <row r="34">
      <c r="A34" s="9" t="n">
        <v>25</v>
      </c>
      <c r="B34" s="7" t="inlineStr">
        <is>
          <t>FY2043</t>
        </is>
      </c>
      <c r="C34" s="7" t="inlineStr">
        <is>
          <t>2043-01-01</t>
        </is>
      </c>
      <c r="D34" s="7" t="inlineStr">
        <is>
          <t>2043-12-31</t>
        </is>
      </c>
    </row>
    <row r="35">
      <c r="A35" s="9" t="n">
        <v>26</v>
      </c>
      <c r="B35" s="7" t="inlineStr">
        <is>
          <t>FY2044</t>
        </is>
      </c>
      <c r="C35" s="7" t="inlineStr">
        <is>
          <t>2044-01-01</t>
        </is>
      </c>
      <c r="D35" s="7" t="inlineStr">
        <is>
          <t>2044-12-31</t>
        </is>
      </c>
    </row>
    <row r="36">
      <c r="A36" s="9" t="n">
        <v>27</v>
      </c>
      <c r="B36" s="7" t="inlineStr">
        <is>
          <t>FY2045</t>
        </is>
      </c>
      <c r="C36" s="7" t="inlineStr">
        <is>
          <t>2045-01-01</t>
        </is>
      </c>
      <c r="D36" s="7" t="inlineStr">
        <is>
          <t>2045-12-31</t>
        </is>
      </c>
    </row>
    <row r="37">
      <c r="A37" s="9" t="n">
        <v>28</v>
      </c>
      <c r="B37" s="7" t="inlineStr">
        <is>
          <t>FY2046</t>
        </is>
      </c>
      <c r="C37" s="7" t="inlineStr">
        <is>
          <t>2046-01-01</t>
        </is>
      </c>
      <c r="D37" s="7" t="inlineStr">
        <is>
          <t>2046-12-31</t>
        </is>
      </c>
    </row>
    <row r="38">
      <c r="A38" s="9" t="n">
        <v>29</v>
      </c>
      <c r="B38" s="7" t="inlineStr">
        <is>
          <t>FY2047</t>
        </is>
      </c>
      <c r="C38" s="7" t="inlineStr">
        <is>
          <t>2047-01-01</t>
        </is>
      </c>
      <c r="D38" s="7" t="inlineStr">
        <is>
          <t>2047-12-31</t>
        </is>
      </c>
    </row>
    <row r="39">
      <c r="A39" s="9" t="n">
        <v>30</v>
      </c>
      <c r="B39" s="7" t="inlineStr">
        <is>
          <t>FY2048</t>
        </is>
      </c>
      <c r="C39" s="7" t="inlineStr">
        <is>
          <t>2048-01-01</t>
        </is>
      </c>
      <c r="D39" s="7" t="inlineStr">
        <is>
          <t>2048-12-31</t>
        </is>
      </c>
    </row>
    <row r="40">
      <c r="A40" s="9" t="n">
        <v>31</v>
      </c>
      <c r="B40" s="7" t="inlineStr">
        <is>
          <t>FY2049</t>
        </is>
      </c>
      <c r="C40" s="7" t="inlineStr">
        <is>
          <t>2049-01-01</t>
        </is>
      </c>
      <c r="D40" s="7" t="inlineStr">
        <is>
          <t>2049-12-31</t>
        </is>
      </c>
    </row>
    <row r="41">
      <c r="A41" s="9" t="n">
        <v>32</v>
      </c>
      <c r="B41" s="7" t="inlineStr">
        <is>
          <t>FY2050</t>
        </is>
      </c>
      <c r="C41" s="7" t="inlineStr">
        <is>
          <t>2050-01-01</t>
        </is>
      </c>
      <c r="D41" s="7" t="inlineStr">
        <is>
          <t>2050-12-31</t>
        </is>
      </c>
    </row>
    <row r="42">
      <c r="A42" s="9" t="n">
        <v>33</v>
      </c>
      <c r="B42" s="7" t="inlineStr">
        <is>
          <t>FY2051</t>
        </is>
      </c>
      <c r="C42" s="7" t="inlineStr">
        <is>
          <t>2051-01-01</t>
        </is>
      </c>
      <c r="D42" s="7" t="inlineStr">
        <is>
          <t>2051-12-31</t>
        </is>
      </c>
    </row>
    <row r="43">
      <c r="A43" s="9" t="n">
        <v>34</v>
      </c>
      <c r="B43" s="7" t="inlineStr">
        <is>
          <t>FY2052</t>
        </is>
      </c>
      <c r="C43" s="7" t="inlineStr">
        <is>
          <t>2052-01-01</t>
        </is>
      </c>
      <c r="D43" s="7" t="inlineStr">
        <is>
          <t>2052-12-31</t>
        </is>
      </c>
    </row>
    <row r="44">
      <c r="A44" s="9" t="n">
        <v>35</v>
      </c>
      <c r="B44" s="7" t="inlineStr">
        <is>
          <t>FY2053</t>
        </is>
      </c>
      <c r="C44" s="7" t="inlineStr">
        <is>
          <t>2053-01-01</t>
        </is>
      </c>
      <c r="D44" s="7" t="inlineStr">
        <is>
          <t>2053-12-31</t>
        </is>
      </c>
    </row>
    <row r="45">
      <c r="A45" s="9" t="n">
        <v>36</v>
      </c>
      <c r="B45" s="7" t="inlineStr">
        <is>
          <t>FY2054</t>
        </is>
      </c>
      <c r="C45" s="7" t="inlineStr">
        <is>
          <t>2054-01-01</t>
        </is>
      </c>
      <c r="D45" s="7" t="inlineStr">
        <is>
          <t>2054-12-31</t>
        </is>
      </c>
    </row>
    <row r="46">
      <c r="A46" s="9" t="n">
        <v>37</v>
      </c>
      <c r="B46" s="7" t="inlineStr">
        <is>
          <t>FY2055</t>
        </is>
      </c>
      <c r="C46" s="7" t="inlineStr">
        <is>
          <t>2055-01-01</t>
        </is>
      </c>
      <c r="D46" s="7" t="inlineStr">
        <is>
          <t>2055-12-31</t>
        </is>
      </c>
    </row>
    <row r="47">
      <c r="A47" s="9" t="n">
        <v>38</v>
      </c>
      <c r="B47" s="7" t="inlineStr">
        <is>
          <t>FY2056</t>
        </is>
      </c>
      <c r="C47" s="7" t="inlineStr">
        <is>
          <t>2056-01-01</t>
        </is>
      </c>
      <c r="D47" s="7" t="inlineStr">
        <is>
          <t>2056-12-31</t>
        </is>
      </c>
    </row>
    <row r="48">
      <c r="A48" s="9" t="n">
        <v>39</v>
      </c>
      <c r="B48" s="7" t="inlineStr">
        <is>
          <t>FY2057</t>
        </is>
      </c>
      <c r="C48" s="7" t="inlineStr">
        <is>
          <t>2057-01-01</t>
        </is>
      </c>
      <c r="D48" s="7" t="inlineStr">
        <is>
          <t>2057-12-31</t>
        </is>
      </c>
    </row>
    <row r="49">
      <c r="A49" s="9" t="n">
        <v>40</v>
      </c>
      <c r="B49" s="7" t="inlineStr">
        <is>
          <t>FY2058</t>
        </is>
      </c>
      <c r="C49" s="7" t="inlineStr">
        <is>
          <t>2058-01-01</t>
        </is>
      </c>
      <c r="D49" s="7" t="inlineStr">
        <is>
          <t>2058-12-31</t>
        </is>
      </c>
    </row>
    <row r="50">
      <c r="A50" s="9" t="n">
        <v>41</v>
      </c>
      <c r="B50" s="7" t="inlineStr">
        <is>
          <t>FY2059</t>
        </is>
      </c>
      <c r="C50" s="7" t="inlineStr">
        <is>
          <t>2059-01-01</t>
        </is>
      </c>
      <c r="D50" s="7" t="inlineStr">
        <is>
          <t>2059-12-31</t>
        </is>
      </c>
    </row>
    <row r="51">
      <c r="A51" s="9" t="n">
        <v>42</v>
      </c>
      <c r="B51" s="7" t="inlineStr">
        <is>
          <t>FY2060</t>
        </is>
      </c>
      <c r="C51" s="7" t="inlineStr">
        <is>
          <t>2060-01-01</t>
        </is>
      </c>
      <c r="D51" s="7" t="inlineStr">
        <is>
          <t>2060-12-31</t>
        </is>
      </c>
    </row>
    <row r="52">
      <c r="A52" s="9" t="n">
        <v>43</v>
      </c>
      <c r="B52" s="7" t="inlineStr">
        <is>
          <t>FY2061</t>
        </is>
      </c>
      <c r="C52" s="7" t="inlineStr">
        <is>
          <t>2061-01-01</t>
        </is>
      </c>
      <c r="D52" s="7" t="inlineStr">
        <is>
          <t>2061-12-31</t>
        </is>
      </c>
    </row>
    <row r="53">
      <c r="A53" s="9" t="n">
        <v>44</v>
      </c>
      <c r="B53" s="7" t="inlineStr">
        <is>
          <t>FY2062</t>
        </is>
      </c>
      <c r="C53" s="7" t="inlineStr">
        <is>
          <t>2062-01-01</t>
        </is>
      </c>
      <c r="D53" s="7" t="inlineStr">
        <is>
          <t>2062-12-31</t>
        </is>
      </c>
    </row>
    <row r="54">
      <c r="A54" s="9" t="n">
        <v>45</v>
      </c>
      <c r="B54" s="7" t="inlineStr">
        <is>
          <t>FY2063</t>
        </is>
      </c>
      <c r="C54" s="7" t="inlineStr">
        <is>
          <t>2063-01-01</t>
        </is>
      </c>
      <c r="D54" s="7" t="inlineStr">
        <is>
          <t>2063-12-31</t>
        </is>
      </c>
    </row>
    <row r="55">
      <c r="A55" s="9" t="n">
        <v>46</v>
      </c>
      <c r="B55" s="7" t="inlineStr">
        <is>
          <t>FY2064</t>
        </is>
      </c>
      <c r="C55" s="7" t="inlineStr">
        <is>
          <t>2064-01-01</t>
        </is>
      </c>
      <c r="D55" s="7" t="inlineStr">
        <is>
          <t>2064-12-31</t>
        </is>
      </c>
    </row>
    <row r="56">
      <c r="A56" s="9" t="n">
        <v>47</v>
      </c>
      <c r="B56" s="7" t="inlineStr">
        <is>
          <t>FY2065</t>
        </is>
      </c>
      <c r="C56" s="7" t="inlineStr">
        <is>
          <t>2065-01-01</t>
        </is>
      </c>
      <c r="D56" s="7" t="inlineStr">
        <is>
          <t>2065-12-31</t>
        </is>
      </c>
    </row>
    <row r="57">
      <c r="A57" s="9" t="n">
        <v>48</v>
      </c>
      <c r="B57" s="7" t="inlineStr">
        <is>
          <t>FY2066</t>
        </is>
      </c>
      <c r="C57" s="7" t="inlineStr">
        <is>
          <t>2066-01-01</t>
        </is>
      </c>
      <c r="D57" s="7" t="inlineStr">
        <is>
          <t>2066-12-31</t>
        </is>
      </c>
    </row>
    <row r="58">
      <c r="A58" s="9" t="n">
        <v>49</v>
      </c>
      <c r="B58" s="7" t="inlineStr">
        <is>
          <t>FY2067</t>
        </is>
      </c>
      <c r="C58" s="7" t="inlineStr">
        <is>
          <t>2067-01-01</t>
        </is>
      </c>
      <c r="D58" s="7" t="inlineStr">
        <is>
          <t>2067-12-31</t>
        </is>
      </c>
    </row>
    <row r="59">
      <c r="A59" s="9" t="n">
        <v>50</v>
      </c>
      <c r="B59" s="7" t="inlineStr">
        <is>
          <t>FY2068</t>
        </is>
      </c>
      <c r="C59" s="7" t="inlineStr">
        <is>
          <t>2068-01-01</t>
        </is>
      </c>
      <c r="D59" s="7" t="inlineStr">
        <is>
          <t>2068-12-31</t>
        </is>
      </c>
    </row>
    <row r="60">
      <c r="A60" s="9" t="n">
        <v>51</v>
      </c>
      <c r="B60" s="7" t="inlineStr">
        <is>
          <t>FY2069</t>
        </is>
      </c>
      <c r="C60" s="7" t="inlineStr">
        <is>
          <t>2069-01-01</t>
        </is>
      </c>
      <c r="D60" s="7" t="inlineStr">
        <is>
          <t>2069-12-31</t>
        </is>
      </c>
    </row>
    <row r="61">
      <c r="A61" s="9" t="n">
        <v>52</v>
      </c>
      <c r="B61" s="7" t="inlineStr">
        <is>
          <t>FY2070</t>
        </is>
      </c>
      <c r="C61" s="7" t="inlineStr">
        <is>
          <t>2070-01-01</t>
        </is>
      </c>
      <c r="D61" s="7" t="inlineStr">
        <is>
          <t>2070-12-31</t>
        </is>
      </c>
    </row>
    <row r="62">
      <c r="A62" s="9" t="n">
        <v>53</v>
      </c>
      <c r="B62" s="7" t="inlineStr">
        <is>
          <t>FY2071</t>
        </is>
      </c>
      <c r="C62" s="7" t="inlineStr">
        <is>
          <t>2071-01-01</t>
        </is>
      </c>
      <c r="D62" s="7" t="inlineStr">
        <is>
          <t>2071-12-31</t>
        </is>
      </c>
    </row>
    <row r="63">
      <c r="A63" s="9" t="n">
        <v>54</v>
      </c>
      <c r="B63" s="7" t="inlineStr">
        <is>
          <t>FY2072</t>
        </is>
      </c>
      <c r="C63" s="7" t="inlineStr">
        <is>
          <t>2072-01-01</t>
        </is>
      </c>
      <c r="D63" s="7" t="inlineStr">
        <is>
          <t>2072-12-31</t>
        </is>
      </c>
    </row>
    <row r="64">
      <c r="A64" s="9" t="n">
        <v>55</v>
      </c>
      <c r="B64" s="7" t="inlineStr">
        <is>
          <t>FY2073</t>
        </is>
      </c>
      <c r="C64" s="7" t="inlineStr">
        <is>
          <t>2073-01-01</t>
        </is>
      </c>
      <c r="D64" s="7" t="inlineStr">
        <is>
          <t>2073-12-31</t>
        </is>
      </c>
    </row>
    <row r="65">
      <c r="A65" s="9" t="n">
        <v>56</v>
      </c>
      <c r="B65" s="7" t="inlineStr">
        <is>
          <t>FY2074</t>
        </is>
      </c>
      <c r="C65" s="7" t="inlineStr">
        <is>
          <t>2074-01-01</t>
        </is>
      </c>
      <c r="D65" s="7" t="inlineStr">
        <is>
          <t>2074-12-31</t>
        </is>
      </c>
    </row>
    <row r="66">
      <c r="A66" s="9" t="n">
        <v>57</v>
      </c>
      <c r="B66" s="7" t="inlineStr">
        <is>
          <t>FY2075</t>
        </is>
      </c>
      <c r="C66" s="7" t="inlineStr">
        <is>
          <t>2075-01-01</t>
        </is>
      </c>
      <c r="D66" s="7" t="inlineStr">
        <is>
          <t>2075-12-31</t>
        </is>
      </c>
    </row>
    <row r="67">
      <c r="A67" s="9" t="n">
        <v>58</v>
      </c>
      <c r="B67" s="7" t="inlineStr">
        <is>
          <t>FY2076</t>
        </is>
      </c>
      <c r="C67" s="7" t="inlineStr">
        <is>
          <t>2076-01-01</t>
        </is>
      </c>
      <c r="D67" s="7" t="inlineStr">
        <is>
          <t>2076-12-31</t>
        </is>
      </c>
    </row>
    <row r="68">
      <c r="A68" s="9" t="n">
        <v>59</v>
      </c>
      <c r="B68" s="7" t="inlineStr">
        <is>
          <t>FY2077</t>
        </is>
      </c>
      <c r="C68" s="7" t="inlineStr">
        <is>
          <t>2077-01-01</t>
        </is>
      </c>
      <c r="D68" s="7" t="inlineStr">
        <is>
          <t>2077-12-31</t>
        </is>
      </c>
    </row>
    <row r="69">
      <c r="A69" s="9" t="n">
        <v>60</v>
      </c>
      <c r="B69" s="7" t="inlineStr">
        <is>
          <t>FY2078</t>
        </is>
      </c>
      <c r="C69" s="7" t="inlineStr">
        <is>
          <t>2078-01-01</t>
        </is>
      </c>
      <c r="D69" s="7" t="inlineStr">
        <is>
          <t>2078-12-31</t>
        </is>
      </c>
    </row>
    <row r="70">
      <c r="A70" s="9" t="n">
        <v>61</v>
      </c>
      <c r="B70" s="7" t="inlineStr">
        <is>
          <t>FY2079</t>
        </is>
      </c>
      <c r="C70" s="7" t="inlineStr">
        <is>
          <t>2079-01-01</t>
        </is>
      </c>
      <c r="D70" s="7" t="inlineStr">
        <is>
          <t>2079-12-31</t>
        </is>
      </c>
    </row>
    <row r="71">
      <c r="A71" s="9" t="n">
        <v>62</v>
      </c>
      <c r="B71" s="7" t="inlineStr">
        <is>
          <t>FY2080</t>
        </is>
      </c>
      <c r="C71" s="7" t="inlineStr">
        <is>
          <t>2080-01-01</t>
        </is>
      </c>
      <c r="D71" s="7" t="inlineStr">
        <is>
          <t>2080-12-31</t>
        </is>
      </c>
    </row>
    <row r="72">
      <c r="A72" s="9" t="n">
        <v>63</v>
      </c>
      <c r="B72" s="7" t="inlineStr">
        <is>
          <t>FY2081</t>
        </is>
      </c>
      <c r="C72" s="7" t="inlineStr">
        <is>
          <t>2081-01-01</t>
        </is>
      </c>
      <c r="D72" s="7" t="inlineStr">
        <is>
          <t>2081-12-31</t>
        </is>
      </c>
    </row>
    <row r="73">
      <c r="A73" s="9" t="n">
        <v>64</v>
      </c>
      <c r="B73" s="7" t="inlineStr">
        <is>
          <t>FY2082</t>
        </is>
      </c>
      <c r="C73" s="7" t="inlineStr">
        <is>
          <t>2082-01-01</t>
        </is>
      </c>
      <c r="D73" s="7" t="inlineStr">
        <is>
          <t>2082-12-31</t>
        </is>
      </c>
    </row>
    <row r="74">
      <c r="A74" s="9" t="n">
        <v>65</v>
      </c>
      <c r="B74" s="7" t="inlineStr">
        <is>
          <t>FY2083</t>
        </is>
      </c>
      <c r="C74" s="7" t="inlineStr">
        <is>
          <t>2083-01-01</t>
        </is>
      </c>
      <c r="D74" s="7" t="inlineStr">
        <is>
          <t>2083-12-31</t>
        </is>
      </c>
    </row>
    <row r="75">
      <c r="A75" s="9" t="n">
        <v>66</v>
      </c>
      <c r="B75" s="7" t="inlineStr">
        <is>
          <t>FY2084</t>
        </is>
      </c>
      <c r="C75" s="7" t="inlineStr">
        <is>
          <t>2084-01-01</t>
        </is>
      </c>
      <c r="D75" s="7" t="inlineStr">
        <is>
          <t>2084-12-31</t>
        </is>
      </c>
    </row>
    <row r="76">
      <c r="A76" s="9" t="n">
        <v>67</v>
      </c>
      <c r="B76" s="7" t="inlineStr">
        <is>
          <t>FY2085</t>
        </is>
      </c>
      <c r="C76" s="7" t="inlineStr">
        <is>
          <t>2085-01-01</t>
        </is>
      </c>
      <c r="D76" s="7" t="inlineStr">
        <is>
          <t>2085-12-31</t>
        </is>
      </c>
    </row>
    <row r="77">
      <c r="A77" s="9" t="n">
        <v>68</v>
      </c>
      <c r="B77" s="7" t="inlineStr">
        <is>
          <t>FY2086</t>
        </is>
      </c>
      <c r="C77" s="7" t="inlineStr">
        <is>
          <t>2086-01-01</t>
        </is>
      </c>
      <c r="D77" s="7" t="inlineStr">
        <is>
          <t>2086-12-31</t>
        </is>
      </c>
    </row>
    <row r="78">
      <c r="A78" s="9" t="n">
        <v>66</v>
      </c>
      <c r="B78" s="7" t="n"/>
      <c r="C78" s="7" t="n"/>
      <c r="D78" s="7" t="n"/>
    </row>
    <row r="79">
      <c r="A79" s="9" t="n">
        <v>67</v>
      </c>
      <c r="B79" s="7" t="n"/>
      <c r="C79" s="7" t="n"/>
      <c r="D79" s="7" t="n"/>
    </row>
    <row r="80">
      <c r="A80" s="9" t="n">
        <v>68</v>
      </c>
      <c r="B80" s="7" t="n"/>
      <c r="C80" s="7" t="n"/>
      <c r="D80" s="7" t="n"/>
    </row>
    <row r="81">
      <c r="A81" s="9" t="n">
        <v>69</v>
      </c>
      <c r="B81" s="7" t="n"/>
      <c r="C81" s="7" t="n"/>
      <c r="D81" s="7" t="n"/>
    </row>
    <row r="82">
      <c r="A82" s="9" t="n">
        <v>70</v>
      </c>
      <c r="B82" s="7" t="n"/>
      <c r="C82" s="7" t="n"/>
      <c r="D82" s="7" t="n"/>
    </row>
    <row r="83">
      <c r="A83" s="9" t="n">
        <v>71</v>
      </c>
      <c r="B83" s="7" t="n"/>
      <c r="C83" s="7" t="n"/>
      <c r="D83" s="7" t="n"/>
    </row>
    <row r="84">
      <c r="A84" s="9" t="n">
        <v>72</v>
      </c>
      <c r="B84" s="7" t="n"/>
      <c r="C84" s="7" t="n"/>
      <c r="D84" s="7" t="n"/>
    </row>
    <row r="85">
      <c r="A85" s="9" t="n">
        <v>73</v>
      </c>
      <c r="B85" s="7" t="n"/>
      <c r="C85" s="7" t="n"/>
      <c r="D85" s="7" t="n"/>
    </row>
    <row r="86">
      <c r="A86" s="9" t="n">
        <v>74</v>
      </c>
      <c r="B86" s="7" t="n"/>
      <c r="C86" s="7" t="n"/>
      <c r="D86" s="7" t="n"/>
    </row>
    <row r="87">
      <c r="A87" s="9" t="n">
        <v>75</v>
      </c>
      <c r="B87" s="7" t="n"/>
      <c r="C87" s="7" t="n"/>
      <c r="D87" s="7" t="n"/>
    </row>
    <row r="88">
      <c r="A88" s="9" t="n">
        <v>76</v>
      </c>
      <c r="B88" s="7" t="n"/>
      <c r="C88" s="7" t="n"/>
      <c r="D88" s="7" t="n"/>
    </row>
    <row r="89">
      <c r="A89" s="9" t="n">
        <v>77</v>
      </c>
      <c r="B89" s="7" t="n"/>
      <c r="C89" s="7" t="n"/>
      <c r="D89" s="7" t="n"/>
    </row>
    <row r="90">
      <c r="A90" s="9" t="n">
        <v>78</v>
      </c>
      <c r="B90" s="7" t="n"/>
      <c r="C90" s="7" t="n"/>
      <c r="D90" s="7" t="n"/>
    </row>
    <row r="91">
      <c r="A91" s="9" t="n">
        <v>79</v>
      </c>
      <c r="B91" s="7" t="n"/>
      <c r="C91" s="7" t="n"/>
      <c r="D91" s="7" t="n"/>
    </row>
    <row r="92">
      <c r="A92" s="9" t="n">
        <v>80</v>
      </c>
      <c r="B92" s="7" t="n"/>
      <c r="C92" s="7" t="n"/>
      <c r="D92" s="7" t="n"/>
    </row>
  </sheetData>
  <mergeCells count="2">
    <mergeCell ref="A1:D1"/>
    <mergeCell ref="A11:C11"/>
  </mergeCells>
  <dataValidations count="1">
    <dataValidation sqref="B3" showDropDown="0" showInputMessage="0" showErrorMessage="0" allowBlank="0" type="list">
      <formula1>"semi_annual,quarterly,annual"</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MANAGEMENT CASE FORECAST — Line items (rows) x periods (columns). Values in deal currency.</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1085000000</v>
      </c>
      <c r="D4" s="21" t="n">
        <v>1117550000</v>
      </c>
      <c r="E4" s="21" t="n">
        <v>1151076500</v>
      </c>
      <c r="F4" s="21" t="n">
        <v>1185608795</v>
      </c>
      <c r="G4" s="21" t="n">
        <v>1221177059</v>
      </c>
      <c r="H4" s="21" t="n">
        <v>1257812371</v>
      </c>
      <c r="I4" s="21" t="n">
        <v>1295546742</v>
      </c>
      <c r="J4" s="21" t="n">
        <v>1334413144</v>
      </c>
      <c r="K4" s="21" t="n">
        <v>1374445538</v>
      </c>
      <c r="L4" s="21" t="n">
        <v>1415678904</v>
      </c>
      <c r="M4" s="21" t="n">
        <v>1458149272</v>
      </c>
      <c r="N4" s="21" t="n">
        <v>1501893750</v>
      </c>
      <c r="O4" s="21" t="n">
        <v>1546950562</v>
      </c>
      <c r="P4" s="21" t="n">
        <v>1593359079</v>
      </c>
      <c r="Q4" s="21" t="n">
        <v>1641159851</v>
      </c>
      <c r="R4" s="21" t="n">
        <v>1690394647</v>
      </c>
      <c r="S4" s="21" t="n">
        <v>1741106486</v>
      </c>
      <c r="T4" s="21" t="n">
        <v>1793339681</v>
      </c>
      <c r="U4" s="21" t="n">
        <v>1847139871</v>
      </c>
      <c r="V4" s="21" t="n">
        <v>1902554068</v>
      </c>
      <c r="W4" s="21" t="n">
        <v>1959630690</v>
      </c>
      <c r="X4" s="21" t="n">
        <v>2018419610</v>
      </c>
      <c r="Y4" s="21" t="n">
        <v>2078972199</v>
      </c>
      <c r="Z4" s="21" t="n">
        <v>2141341365</v>
      </c>
      <c r="AA4" s="21" t="n">
        <v>2205581606</v>
      </c>
      <c r="AB4" s="21" t="n">
        <v>2271749054</v>
      </c>
      <c r="AC4" s="21" t="n">
        <v>2339901525</v>
      </c>
      <c r="AD4" s="21" t="n">
        <v>2410098571</v>
      </c>
      <c r="AE4" s="21" t="n">
        <v>2482401528</v>
      </c>
      <c r="AF4" s="21" t="n">
        <v>2556873574</v>
      </c>
      <c r="AG4" s="21" t="n">
        <v>2633579781</v>
      </c>
      <c r="AH4" s="21" t="n">
        <v>2712587175</v>
      </c>
      <c r="AI4" s="21" t="n">
        <v>2793964790</v>
      </c>
      <c r="AJ4" s="21" t="n">
        <v>2877783734</v>
      </c>
      <c r="AK4" s="21" t="n">
        <v>2964117246</v>
      </c>
      <c r="AL4" s="21" t="n">
        <v>3053040763</v>
      </c>
      <c r="AM4" s="21" t="n">
        <v>3144631986</v>
      </c>
      <c r="AN4" s="21" t="n">
        <v>3238970945</v>
      </c>
      <c r="AO4" s="21" t="n">
        <v>3336140074</v>
      </c>
      <c r="AP4" s="21" t="n">
        <v>3436224276</v>
      </c>
      <c r="AQ4" s="21" t="n">
        <v>3539311004</v>
      </c>
      <c r="AR4" s="21" t="n">
        <v>3645490334</v>
      </c>
      <c r="AS4" s="21" t="n">
        <v>3754855044</v>
      </c>
      <c r="AT4" s="21" t="n">
        <v>3867500696</v>
      </c>
      <c r="AU4" s="21" t="n">
        <v>3983525717</v>
      </c>
      <c r="AV4" s="21" t="n">
        <v>4103031488</v>
      </c>
      <c r="AW4" s="21" t="n">
        <v>4226122433</v>
      </c>
      <c r="AX4" s="21" t="n">
        <v>4352906106</v>
      </c>
      <c r="AY4" s="21" t="n">
        <v>4483493289</v>
      </c>
      <c r="AZ4" s="21" t="n">
        <v>4617998088</v>
      </c>
      <c r="BA4" s="21" t="n">
        <v>4756538030</v>
      </c>
      <c r="BB4" s="21" t="n">
        <v>4899234171</v>
      </c>
      <c r="BC4" s="21" t="n">
        <v>5046211196</v>
      </c>
      <c r="BD4" s="21" t="n">
        <v>5197597532</v>
      </c>
      <c r="BE4" s="21" t="n">
        <v>5353525458</v>
      </c>
      <c r="BF4" s="21" t="n">
        <v>5514131222</v>
      </c>
      <c r="BG4" s="21" t="n">
        <v>5679555159</v>
      </c>
      <c r="BH4" s="21" t="n">
        <v>5849941813</v>
      </c>
      <c r="BI4" s="21" t="n">
        <v>6025440068</v>
      </c>
      <c r="BJ4" s="21" t="n">
        <v>6206203270</v>
      </c>
      <c r="BK4" s="21" t="n">
        <v>6392389368</v>
      </c>
      <c r="BL4" s="21" t="n">
        <v>6584161049</v>
      </c>
      <c r="BM4" s="21" t="n">
        <v>6781685880</v>
      </c>
      <c r="BN4" s="21" t="n">
        <v>6985136457</v>
      </c>
      <c r="BO4" s="21" t="n">
        <v>7194690551</v>
      </c>
      <c r="BP4" s="21" t="n">
        <v>7410531267</v>
      </c>
      <c r="BQ4" s="21" t="n">
        <v>7632847205</v>
      </c>
      <c r="BR4" s="21" t="n">
        <v>7861832621</v>
      </c>
      <c r="BS4" s="21" t="n"/>
      <c r="BT4" s="21" t="n"/>
      <c r="BU4" s="21" t="n"/>
      <c r="BV4" s="21" t="n"/>
      <c r="BW4" s="21" t="n"/>
      <c r="BX4" s="21" t="n"/>
      <c r="BY4" s="21" t="n"/>
      <c r="BZ4" s="21" t="n"/>
      <c r="CA4" s="21" t="n"/>
      <c r="CB4" s="21" t="n"/>
      <c r="CC4" s="21" t="n"/>
      <c r="CD4" s="21" t="n"/>
    </row>
    <row r="5">
      <c r="A5" s="19" t="inlineStr">
        <is>
          <t>revenue_1</t>
        </is>
      </c>
      <c r="B5" s="22" t="inlineStr">
        <is>
          <t>Revenue 1</t>
        </is>
      </c>
      <c r="C5" s="23" t="n">
        <v>958000000</v>
      </c>
      <c r="D5" s="23" t="n">
        <v>986740000</v>
      </c>
      <c r="E5" s="23" t="n">
        <v>1016342200</v>
      </c>
      <c r="F5" s="23" t="n">
        <v>1046832466</v>
      </c>
      <c r="G5" s="23" t="n">
        <v>1078237440</v>
      </c>
      <c r="H5" s="23" t="n">
        <v>1110584563</v>
      </c>
      <c r="I5" s="23" t="n">
        <v>1143902100</v>
      </c>
      <c r="J5" s="23" t="n">
        <v>1178219163</v>
      </c>
      <c r="K5" s="23" t="n">
        <v>1213565738</v>
      </c>
      <c r="L5" s="23" t="n">
        <v>1249972710</v>
      </c>
      <c r="M5" s="23" t="n">
        <v>1287471891</v>
      </c>
      <c r="N5" s="23" t="n">
        <v>1326096048</v>
      </c>
      <c r="O5" s="23" t="n">
        <v>1365878930</v>
      </c>
      <c r="P5" s="23" t="n">
        <v>1406855297</v>
      </c>
      <c r="Q5" s="23" t="n">
        <v>1449060956</v>
      </c>
      <c r="R5" s="23" t="n">
        <v>1492532785</v>
      </c>
      <c r="S5" s="23" t="n">
        <v>1537308769</v>
      </c>
      <c r="T5" s="23" t="n">
        <v>1583428032</v>
      </c>
      <c r="U5" s="23" t="n">
        <v>1630930873</v>
      </c>
      <c r="V5" s="23" t="n">
        <v>1679858799</v>
      </c>
      <c r="W5" s="23" t="n">
        <v>1730254563</v>
      </c>
      <c r="X5" s="23" t="n">
        <v>1782162200</v>
      </c>
      <c r="Y5" s="23" t="n">
        <v>1835627066</v>
      </c>
      <c r="Z5" s="23" t="n">
        <v>1890695878</v>
      </c>
      <c r="AA5" s="23" t="n">
        <v>1947416754</v>
      </c>
      <c r="AB5" s="23" t="n">
        <v>2005839257</v>
      </c>
      <c r="AC5" s="23" t="n">
        <v>2066014434</v>
      </c>
      <c r="AD5" s="23" t="n">
        <v>2127994867</v>
      </c>
      <c r="AE5" s="23" t="n">
        <v>2191834713</v>
      </c>
      <c r="AF5" s="23" t="n">
        <v>2257589755</v>
      </c>
      <c r="AG5" s="23" t="n">
        <v>2325317447</v>
      </c>
      <c r="AH5" s="23" t="n">
        <v>2395076971</v>
      </c>
      <c r="AI5" s="23" t="n">
        <v>2466929280</v>
      </c>
      <c r="AJ5" s="23" t="n">
        <v>2540937158</v>
      </c>
      <c r="AK5" s="23" t="n">
        <v>2617165273</v>
      </c>
      <c r="AL5" s="23" t="n">
        <v>2695680231</v>
      </c>
      <c r="AM5" s="23" t="n">
        <v>2776550638</v>
      </c>
      <c r="AN5" s="23" t="n">
        <v>2859847157</v>
      </c>
      <c r="AO5" s="23" t="n">
        <v>2945642572</v>
      </c>
      <c r="AP5" s="23" t="n">
        <v>3034011849</v>
      </c>
      <c r="AQ5" s="23" t="n">
        <v>3125032205</v>
      </c>
      <c r="AR5" s="23" t="n">
        <v>3218783171</v>
      </c>
      <c r="AS5" s="23" t="n">
        <v>3315346666</v>
      </c>
      <c r="AT5" s="23" t="n">
        <v>3414807066</v>
      </c>
      <c r="AU5" s="23" t="n">
        <v>3517251278</v>
      </c>
      <c r="AV5" s="23" t="n">
        <v>3622768816</v>
      </c>
      <c r="AW5" s="23" t="n">
        <v>3731451881</v>
      </c>
      <c r="AX5" s="23" t="n">
        <v>3843395437</v>
      </c>
      <c r="AY5" s="23" t="n">
        <v>3958697300</v>
      </c>
      <c r="AZ5" s="23" t="n">
        <v>4077458219</v>
      </c>
      <c r="BA5" s="23" t="n">
        <v>4199781966</v>
      </c>
      <c r="BB5" s="23" t="n">
        <v>4325775425</v>
      </c>
      <c r="BC5" s="23" t="n">
        <v>4455548688</v>
      </c>
      <c r="BD5" s="23" t="n">
        <v>4589215148</v>
      </c>
      <c r="BE5" s="23" t="n">
        <v>4726891603</v>
      </c>
      <c r="BF5" s="23" t="n">
        <v>4868698351</v>
      </c>
      <c r="BG5" s="23" t="n">
        <v>5014759301</v>
      </c>
      <c r="BH5" s="23" t="n">
        <v>5165202080</v>
      </c>
      <c r="BI5" s="23" t="n">
        <v>5320158143</v>
      </c>
      <c r="BJ5" s="23" t="n">
        <v>5479762887</v>
      </c>
      <c r="BK5" s="23" t="n">
        <v>5644155774</v>
      </c>
      <c r="BL5" s="23" t="n">
        <v>5813480447</v>
      </c>
      <c r="BM5" s="23" t="n">
        <v>5987884860</v>
      </c>
      <c r="BN5" s="23" t="n">
        <v>6167521406</v>
      </c>
      <c r="BO5" s="23" t="n">
        <v>6352547048</v>
      </c>
      <c r="BP5" s="23" t="n">
        <v>6543123460</v>
      </c>
      <c r="BQ5" s="23" t="n">
        <v>6739417164</v>
      </c>
      <c r="BR5" s="23" t="n">
        <v>6941599678</v>
      </c>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v>126000000</v>
      </c>
      <c r="D7" s="23" t="n">
        <v>129780000</v>
      </c>
      <c r="E7" s="23" t="n">
        <v>133673400</v>
      </c>
      <c r="F7" s="23" t="n">
        <v>137683602</v>
      </c>
      <c r="G7" s="23" t="n">
        <v>141814110</v>
      </c>
      <c r="H7" s="23" t="n">
        <v>146068533</v>
      </c>
      <c r="I7" s="23" t="n">
        <v>150450589</v>
      </c>
      <c r="J7" s="23" t="n">
        <v>154964107</v>
      </c>
      <c r="K7" s="23" t="n">
        <v>159613030</v>
      </c>
      <c r="L7" s="23" t="n">
        <v>164401421</v>
      </c>
      <c r="M7" s="23" t="n">
        <v>169333464</v>
      </c>
      <c r="N7" s="23" t="n">
        <v>174413468</v>
      </c>
      <c r="O7" s="23" t="n">
        <v>179645872</v>
      </c>
      <c r="P7" s="23" t="n">
        <v>185035248</v>
      </c>
      <c r="Q7" s="23" t="n">
        <v>190586305</v>
      </c>
      <c r="R7" s="23" t="n">
        <v>196303894</v>
      </c>
      <c r="S7" s="23" t="n">
        <v>202193011</v>
      </c>
      <c r="T7" s="23" t="n">
        <v>208258802</v>
      </c>
      <c r="U7" s="23" t="n">
        <v>214506566</v>
      </c>
      <c r="V7" s="23" t="n">
        <v>220941763</v>
      </c>
      <c r="W7" s="23" t="n">
        <v>227570016</v>
      </c>
      <c r="X7" s="23" t="n">
        <v>234397116</v>
      </c>
      <c r="Y7" s="23" t="n">
        <v>241429030</v>
      </c>
      <c r="Z7" s="23" t="n">
        <v>248671900</v>
      </c>
      <c r="AA7" s="23" t="n">
        <v>256132057</v>
      </c>
      <c r="AB7" s="23" t="n">
        <v>263816019</v>
      </c>
      <c r="AC7" s="23" t="n">
        <v>271730500</v>
      </c>
      <c r="AD7" s="23" t="n">
        <v>279882415</v>
      </c>
      <c r="AE7" s="23" t="n">
        <v>288278887</v>
      </c>
      <c r="AF7" s="23" t="n">
        <v>296927254</v>
      </c>
      <c r="AG7" s="23" t="n">
        <v>305835071</v>
      </c>
      <c r="AH7" s="23" t="n">
        <v>315010124</v>
      </c>
      <c r="AI7" s="23" t="n">
        <v>324460427</v>
      </c>
      <c r="AJ7" s="23" t="n">
        <v>334194240</v>
      </c>
      <c r="AK7" s="23" t="n">
        <v>344220067</v>
      </c>
      <c r="AL7" s="23" t="n">
        <v>354546669</v>
      </c>
      <c r="AM7" s="23" t="n">
        <v>365183069</v>
      </c>
      <c r="AN7" s="23" t="n">
        <v>376138561</v>
      </c>
      <c r="AO7" s="23" t="n">
        <v>387422718</v>
      </c>
      <c r="AP7" s="23" t="n">
        <v>399045400</v>
      </c>
      <c r="AQ7" s="23" t="n">
        <v>411016762</v>
      </c>
      <c r="AR7" s="23" t="n">
        <v>423347265</v>
      </c>
      <c r="AS7" s="23" t="n">
        <v>436047683</v>
      </c>
      <c r="AT7" s="23" t="n">
        <v>449129113</v>
      </c>
      <c r="AU7" s="23" t="n">
        <v>462602986</v>
      </c>
      <c r="AV7" s="23" t="n">
        <v>476481076</v>
      </c>
      <c r="AW7" s="23" t="n">
        <v>490775508</v>
      </c>
      <c r="AX7" s="23" t="n">
        <v>505498774</v>
      </c>
      <c r="AY7" s="23" t="n">
        <v>520663737</v>
      </c>
      <c r="AZ7" s="23" t="n">
        <v>536283649</v>
      </c>
      <c r="BA7" s="23" t="n">
        <v>552372158</v>
      </c>
      <c r="BB7" s="23" t="n">
        <v>568943323</v>
      </c>
      <c r="BC7" s="23" t="n">
        <v>586011623</v>
      </c>
      <c r="BD7" s="23" t="n">
        <v>603591971</v>
      </c>
      <c r="BE7" s="23" t="n">
        <v>621699731</v>
      </c>
      <c r="BF7" s="23" t="n">
        <v>640350723</v>
      </c>
      <c r="BG7" s="23" t="n">
        <v>659561244</v>
      </c>
      <c r="BH7" s="23" t="n">
        <v>679348082</v>
      </c>
      <c r="BI7" s="23" t="n">
        <v>699728524</v>
      </c>
      <c r="BJ7" s="23" t="n">
        <v>720720380</v>
      </c>
      <c r="BK7" s="23" t="n">
        <v>742341991</v>
      </c>
      <c r="BL7" s="23" t="n">
        <v>764612251</v>
      </c>
      <c r="BM7" s="23" t="n">
        <v>787550618</v>
      </c>
      <c r="BN7" s="23" t="n">
        <v>811177137</v>
      </c>
      <c r="BO7" s="23" t="n">
        <v>835512451</v>
      </c>
      <c r="BP7" s="23" t="n">
        <v>860577825</v>
      </c>
      <c r="BQ7" s="23" t="n">
        <v>886395159</v>
      </c>
      <c r="BR7" s="23" t="n">
        <v>912987014</v>
      </c>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-525000000</v>
      </c>
      <c r="D14" s="21" t="n">
        <v>-535500000</v>
      </c>
      <c r="E14" s="21" t="n">
        <v>-546210000</v>
      </c>
      <c r="F14" s="21" t="n">
        <v>-557134200</v>
      </c>
      <c r="G14" s="21" t="n">
        <v>-568276884</v>
      </c>
      <c r="H14" s="21" t="n">
        <v>-579642422</v>
      </c>
      <c r="I14" s="21" t="n">
        <v>-591235270</v>
      </c>
      <c r="J14" s="21" t="n">
        <v>-603059976</v>
      </c>
      <c r="K14" s="21" t="n">
        <v>-615121175</v>
      </c>
      <c r="L14" s="21" t="n">
        <v>-627423599</v>
      </c>
      <c r="M14" s="21" t="n">
        <v>-639972070</v>
      </c>
      <c r="N14" s="21" t="n">
        <v>-652771512</v>
      </c>
      <c r="O14" s="21" t="n">
        <v>-665826942</v>
      </c>
      <c r="P14" s="21" t="n">
        <v>-679143481</v>
      </c>
      <c r="Q14" s="21" t="n">
        <v>-692726351</v>
      </c>
      <c r="R14" s="21" t="n">
        <v>-706580878</v>
      </c>
      <c r="S14" s="21" t="n">
        <v>-720712495</v>
      </c>
      <c r="T14" s="21" t="n">
        <v>-735126745</v>
      </c>
      <c r="U14" s="21" t="n">
        <v>-749829280</v>
      </c>
      <c r="V14" s="21" t="n">
        <v>-764825866</v>
      </c>
      <c r="W14" s="21" t="n">
        <v>-780122383</v>
      </c>
      <c r="X14" s="21" t="n">
        <v>-795724831</v>
      </c>
      <c r="Y14" s="21" t="n">
        <v>-811639327</v>
      </c>
      <c r="Z14" s="21" t="n">
        <v>-827872114</v>
      </c>
      <c r="AA14" s="21" t="n">
        <v>-844429556</v>
      </c>
      <c r="AB14" s="21" t="n">
        <v>-861318147</v>
      </c>
      <c r="AC14" s="21" t="n">
        <v>-878544510</v>
      </c>
      <c r="AD14" s="21" t="n">
        <v>-896115400</v>
      </c>
      <c r="AE14" s="21" t="n">
        <v>-914037708</v>
      </c>
      <c r="AF14" s="21" t="n">
        <v>-932318462</v>
      </c>
      <c r="AG14" s="21" t="n">
        <v>-950964832</v>
      </c>
      <c r="AH14" s="21" t="n">
        <v>-969984128</v>
      </c>
      <c r="AI14" s="21" t="n">
        <v>-989383811</v>
      </c>
      <c r="AJ14" s="21" t="n">
        <v>-1009171487</v>
      </c>
      <c r="AK14" s="21" t="n">
        <v>-1029354917</v>
      </c>
      <c r="AL14" s="21" t="n">
        <v>-1049942015</v>
      </c>
      <c r="AM14" s="21" t="n">
        <v>-1070940855</v>
      </c>
      <c r="AN14" s="21" t="n">
        <v>-1092359673</v>
      </c>
      <c r="AO14" s="21" t="n">
        <v>-1114206866</v>
      </c>
      <c r="AP14" s="21" t="n">
        <v>-1136491003</v>
      </c>
      <c r="AQ14" s="21" t="n">
        <v>-1159220823</v>
      </c>
      <c r="AR14" s="21" t="n">
        <v>-1182405240</v>
      </c>
      <c r="AS14" s="21" t="n">
        <v>-1206053345</v>
      </c>
      <c r="AT14" s="21" t="n">
        <v>-1230174412</v>
      </c>
      <c r="AU14" s="21" t="n">
        <v>-1254777900</v>
      </c>
      <c r="AV14" s="21" t="n">
        <v>-1279873458</v>
      </c>
      <c r="AW14" s="21" t="n">
        <v>-1305470927</v>
      </c>
      <c r="AX14" s="21" t="n">
        <v>-1331580345</v>
      </c>
      <c r="AY14" s="21" t="n">
        <v>-1358211952</v>
      </c>
      <c r="AZ14" s="21" t="n">
        <v>-1385376191</v>
      </c>
      <c r="BA14" s="21" t="n">
        <v>-1413083715</v>
      </c>
      <c r="BB14" s="21" t="n">
        <v>-1441345390</v>
      </c>
      <c r="BC14" s="21" t="n">
        <v>-1470172297</v>
      </c>
      <c r="BD14" s="21" t="n">
        <v>-1499575743</v>
      </c>
      <c r="BE14" s="21" t="n">
        <v>-1529567258</v>
      </c>
      <c r="BF14" s="21" t="n">
        <v>-1560158603</v>
      </c>
      <c r="BG14" s="21" t="n">
        <v>-1591361775</v>
      </c>
      <c r="BH14" s="21" t="n">
        <v>-1623189011</v>
      </c>
      <c r="BI14" s="21" t="n">
        <v>-1655652791</v>
      </c>
      <c r="BJ14" s="21" t="n">
        <v>-1688765847</v>
      </c>
      <c r="BK14" s="21" t="n">
        <v>-1722541164</v>
      </c>
      <c r="BL14" s="21" t="n">
        <v>-1756991987</v>
      </c>
      <c r="BM14" s="21" t="n">
        <v>-1792131827</v>
      </c>
      <c r="BN14" s="21" t="n">
        <v>-1827974463</v>
      </c>
      <c r="BO14" s="21" t="n">
        <v>-1864533953</v>
      </c>
      <c r="BP14" s="21" t="n">
        <v>-1901824632</v>
      </c>
      <c r="BQ14" s="21" t="n">
        <v>-1939861124</v>
      </c>
      <c r="BR14" s="21" t="n">
        <v>-1978658347</v>
      </c>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-406000000</v>
      </c>
      <c r="D15" s="23" t="n">
        <v>-414120000</v>
      </c>
      <c r="E15" s="23" t="n">
        <v>-422402400</v>
      </c>
      <c r="F15" s="23" t="n">
        <v>-430850448</v>
      </c>
      <c r="G15" s="23" t="n">
        <v>-439467457</v>
      </c>
      <c r="H15" s="23" t="n">
        <v>-448256806</v>
      </c>
      <c r="I15" s="23" t="n">
        <v>-457221942</v>
      </c>
      <c r="J15" s="23" t="n">
        <v>-466366381</v>
      </c>
      <c r="K15" s="23" t="n">
        <v>-475693709</v>
      </c>
      <c r="L15" s="23" t="n">
        <v>-485207583</v>
      </c>
      <c r="M15" s="23" t="n">
        <v>-494911735</v>
      </c>
      <c r="N15" s="23" t="n">
        <v>-504809969</v>
      </c>
      <c r="O15" s="23" t="n">
        <v>-514906169</v>
      </c>
      <c r="P15" s="23" t="n">
        <v>-525204292</v>
      </c>
      <c r="Q15" s="23" t="n">
        <v>-535708378</v>
      </c>
      <c r="R15" s="23" t="n">
        <v>-546422545</v>
      </c>
      <c r="S15" s="23" t="n">
        <v>-557350996</v>
      </c>
      <c r="T15" s="23" t="n">
        <v>-568498016</v>
      </c>
      <c r="U15" s="23" t="n">
        <v>-579867977</v>
      </c>
      <c r="V15" s="23" t="n">
        <v>-591465336</v>
      </c>
      <c r="W15" s="23" t="n">
        <v>-603294643</v>
      </c>
      <c r="X15" s="23" t="n">
        <v>-615360536</v>
      </c>
      <c r="Y15" s="23" t="n">
        <v>-627667746</v>
      </c>
      <c r="Z15" s="23" t="n">
        <v>-640221101</v>
      </c>
      <c r="AA15" s="23" t="n">
        <v>-653025523</v>
      </c>
      <c r="AB15" s="23" t="n">
        <v>-666086034</v>
      </c>
      <c r="AC15" s="23" t="n">
        <v>-679407754</v>
      </c>
      <c r="AD15" s="23" t="n">
        <v>-692995910</v>
      </c>
      <c r="AE15" s="23" t="n">
        <v>-706855828</v>
      </c>
      <c r="AF15" s="23" t="n">
        <v>-720992944</v>
      </c>
      <c r="AG15" s="23" t="n">
        <v>-735412803</v>
      </c>
      <c r="AH15" s="23" t="n">
        <v>-750121059</v>
      </c>
      <c r="AI15" s="23" t="n">
        <v>-765123480</v>
      </c>
      <c r="AJ15" s="23" t="n">
        <v>-780425950</v>
      </c>
      <c r="AK15" s="23" t="n">
        <v>-796034469</v>
      </c>
      <c r="AL15" s="23" t="n">
        <v>-811955158</v>
      </c>
      <c r="AM15" s="23" t="n">
        <v>-828194262</v>
      </c>
      <c r="AN15" s="23" t="n">
        <v>-844758147</v>
      </c>
      <c r="AO15" s="23" t="n">
        <v>-861653310</v>
      </c>
      <c r="AP15" s="23" t="n">
        <v>-878886376</v>
      </c>
      <c r="AQ15" s="23" t="n">
        <v>-896464103</v>
      </c>
      <c r="AR15" s="23" t="n">
        <v>-914393385</v>
      </c>
      <c r="AS15" s="23" t="n">
        <v>-932681253</v>
      </c>
      <c r="AT15" s="23" t="n">
        <v>-951334878</v>
      </c>
      <c r="AU15" s="23" t="n">
        <v>-970361576</v>
      </c>
      <c r="AV15" s="23" t="n">
        <v>-989768807</v>
      </c>
      <c r="AW15" s="23" t="n">
        <v>-1009564183</v>
      </c>
      <c r="AX15" s="23" t="n">
        <v>-1029755467</v>
      </c>
      <c r="AY15" s="23" t="n">
        <v>-1050350577</v>
      </c>
      <c r="AZ15" s="23" t="n">
        <v>-1071357588</v>
      </c>
      <c r="BA15" s="23" t="n">
        <v>-1092784740</v>
      </c>
      <c r="BB15" s="23" t="n">
        <v>-1114640435</v>
      </c>
      <c r="BC15" s="23" t="n">
        <v>-1136933243</v>
      </c>
      <c r="BD15" s="23" t="n">
        <v>-1159671908</v>
      </c>
      <c r="BE15" s="23" t="n">
        <v>-1182865346</v>
      </c>
      <c r="BF15" s="23" t="n">
        <v>-1206522653</v>
      </c>
      <c r="BG15" s="23" t="n">
        <v>-1230653106</v>
      </c>
      <c r="BH15" s="23" t="n">
        <v>-1255266168</v>
      </c>
      <c r="BI15" s="23" t="n">
        <v>-1280371492</v>
      </c>
      <c r="BJ15" s="23" t="n">
        <v>-1305978922</v>
      </c>
      <c r="BK15" s="23" t="n">
        <v>-1332098500</v>
      </c>
      <c r="BL15" s="23" t="n">
        <v>-1358740470</v>
      </c>
      <c r="BM15" s="23" t="n">
        <v>-1385915279</v>
      </c>
      <c r="BN15" s="23" t="n">
        <v>-1413633585</v>
      </c>
      <c r="BO15" s="23" t="n">
        <v>-1441906257</v>
      </c>
      <c r="BP15" s="23" t="n">
        <v>-1470744382</v>
      </c>
      <c r="BQ15" s="23" t="n">
        <v>-1500159270</v>
      </c>
      <c r="BR15" s="23" t="n">
        <v>-1530162455</v>
      </c>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-102000000</v>
      </c>
      <c r="D17" s="23" t="n">
        <v>-104040000</v>
      </c>
      <c r="E17" s="23" t="n">
        <v>-106120800</v>
      </c>
      <c r="F17" s="23" t="n">
        <v>-108243216</v>
      </c>
      <c r="G17" s="23" t="n">
        <v>-110408080</v>
      </c>
      <c r="H17" s="23" t="n">
        <v>-112616242</v>
      </c>
      <c r="I17" s="23" t="n">
        <v>-114868567</v>
      </c>
      <c r="J17" s="23" t="n">
        <v>-117165938</v>
      </c>
      <c r="K17" s="23" t="n">
        <v>-119509257</v>
      </c>
      <c r="L17" s="23" t="n">
        <v>-121899442</v>
      </c>
      <c r="M17" s="23" t="n">
        <v>-124337431</v>
      </c>
      <c r="N17" s="23" t="n">
        <v>-126824179</v>
      </c>
      <c r="O17" s="23" t="n">
        <v>-129360663</v>
      </c>
      <c r="P17" s="23" t="n">
        <v>-131947876</v>
      </c>
      <c r="Q17" s="23" t="n">
        <v>-134586834</v>
      </c>
      <c r="R17" s="23" t="n">
        <v>-137278571</v>
      </c>
      <c r="S17" s="23" t="n">
        <v>-140024142</v>
      </c>
      <c r="T17" s="23" t="n">
        <v>-142824625</v>
      </c>
      <c r="U17" s="23" t="n">
        <v>-145681117</v>
      </c>
      <c r="V17" s="23" t="n">
        <v>-148594740</v>
      </c>
      <c r="W17" s="23" t="n">
        <v>-151566634</v>
      </c>
      <c r="X17" s="23" t="n">
        <v>-154597967</v>
      </c>
      <c r="Y17" s="23" t="n">
        <v>-157689926</v>
      </c>
      <c r="Z17" s="23" t="n">
        <v>-160843725</v>
      </c>
      <c r="AA17" s="23" t="n">
        <v>-164060599</v>
      </c>
      <c r="AB17" s="23" t="n">
        <v>-167341811</v>
      </c>
      <c r="AC17" s="23" t="n">
        <v>-170688648</v>
      </c>
      <c r="AD17" s="23" t="n">
        <v>-174102421</v>
      </c>
      <c r="AE17" s="23" t="n">
        <v>-177584469</v>
      </c>
      <c r="AF17" s="23" t="n">
        <v>-181136158</v>
      </c>
      <c r="AG17" s="23" t="n">
        <v>-184758882</v>
      </c>
      <c r="AH17" s="23" t="n">
        <v>-188454059</v>
      </c>
      <c r="AI17" s="23" t="n">
        <v>-192223140</v>
      </c>
      <c r="AJ17" s="23" t="n">
        <v>-196067603</v>
      </c>
      <c r="AK17" s="23" t="n">
        <v>-199988955</v>
      </c>
      <c r="AL17" s="23" t="n">
        <v>-203988734</v>
      </c>
      <c r="AM17" s="23" t="n">
        <v>-208068509</v>
      </c>
      <c r="AN17" s="23" t="n">
        <v>-212229879</v>
      </c>
      <c r="AO17" s="23" t="n">
        <v>-216474477</v>
      </c>
      <c r="AP17" s="23" t="n">
        <v>-220803966</v>
      </c>
      <c r="AQ17" s="23" t="n">
        <v>-225220046</v>
      </c>
      <c r="AR17" s="23" t="n">
        <v>-229724447</v>
      </c>
      <c r="AS17" s="23" t="n">
        <v>-234318936</v>
      </c>
      <c r="AT17" s="23" t="n">
        <v>-239005314</v>
      </c>
      <c r="AU17" s="23" t="n">
        <v>-243785421</v>
      </c>
      <c r="AV17" s="23" t="n">
        <v>-248661129</v>
      </c>
      <c r="AW17" s="23" t="n">
        <v>-253634352</v>
      </c>
      <c r="AX17" s="23" t="n">
        <v>-258707039</v>
      </c>
      <c r="AY17" s="23" t="n">
        <v>-263881179</v>
      </c>
      <c r="AZ17" s="23" t="n">
        <v>-269158803</v>
      </c>
      <c r="BA17" s="23" t="n">
        <v>-274541979</v>
      </c>
      <c r="BB17" s="23" t="n">
        <v>-280032819</v>
      </c>
      <c r="BC17" s="23" t="n">
        <v>-285633475</v>
      </c>
      <c r="BD17" s="23" t="n">
        <v>-291346144</v>
      </c>
      <c r="BE17" s="23" t="n">
        <v>-297173067</v>
      </c>
      <c r="BF17" s="23" t="n">
        <v>-303116529</v>
      </c>
      <c r="BG17" s="23" t="n">
        <v>-309178859</v>
      </c>
      <c r="BH17" s="23" t="n">
        <v>-315362436</v>
      </c>
      <c r="BI17" s="23" t="n">
        <v>-321669685</v>
      </c>
      <c r="BJ17" s="23" t="n">
        <v>-328103079</v>
      </c>
      <c r="BK17" s="23" t="n">
        <v>-334665140</v>
      </c>
      <c r="BL17" s="23" t="n">
        <v>-341358443</v>
      </c>
      <c r="BM17" s="23" t="n">
        <v>-348185612</v>
      </c>
      <c r="BN17" s="23" t="n">
        <v>-355149324</v>
      </c>
      <c r="BO17" s="23" t="n">
        <v>-362252311</v>
      </c>
      <c r="BP17" s="23" t="n">
        <v>-369497357</v>
      </c>
      <c r="BQ17" s="23" t="n">
        <v>-376887304</v>
      </c>
      <c r="BR17" s="23" t="n">
        <v>-384425050</v>
      </c>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560000000</v>
      </c>
      <c r="D29" s="21" t="n">
        <v>582050000</v>
      </c>
      <c r="E29" s="21" t="n">
        <v>604866500</v>
      </c>
      <c r="F29" s="21" t="n">
        <v>628474595</v>
      </c>
      <c r="G29" s="21" t="n">
        <v>652900175</v>
      </c>
      <c r="H29" s="21" t="n">
        <v>678169949</v>
      </c>
      <c r="I29" s="21" t="n">
        <v>704311472</v>
      </c>
      <c r="J29" s="21" t="n">
        <v>731353168</v>
      </c>
      <c r="K29" s="21" t="n">
        <v>759324363</v>
      </c>
      <c r="L29" s="21" t="n">
        <v>788255306</v>
      </c>
      <c r="M29" s="21" t="n">
        <v>818177201</v>
      </c>
      <c r="N29" s="21" t="n">
        <v>849122238</v>
      </c>
      <c r="O29" s="21" t="n">
        <v>881123620</v>
      </c>
      <c r="P29" s="21" t="n">
        <v>914215598</v>
      </c>
      <c r="Q29" s="21" t="n">
        <v>948433501</v>
      </c>
      <c r="R29" s="21" t="n">
        <v>983813769</v>
      </c>
      <c r="S29" s="21" t="n">
        <v>1020393991</v>
      </c>
      <c r="T29" s="21" t="n">
        <v>1058212936</v>
      </c>
      <c r="U29" s="21" t="n">
        <v>1097310591</v>
      </c>
      <c r="V29" s="21" t="n">
        <v>1137728202</v>
      </c>
      <c r="W29" s="21" t="n">
        <v>1179508307</v>
      </c>
      <c r="X29" s="21" t="n">
        <v>1222694780</v>
      </c>
      <c r="Y29" s="21" t="n">
        <v>1267332871</v>
      </c>
      <c r="Z29" s="21" t="n">
        <v>1313469251</v>
      </c>
      <c r="AA29" s="21" t="n">
        <v>1361152050</v>
      </c>
      <c r="AB29" s="21" t="n">
        <v>1410430907</v>
      </c>
      <c r="AC29" s="21" t="n">
        <v>1461357015</v>
      </c>
      <c r="AD29" s="21" t="n">
        <v>1513983171</v>
      </c>
      <c r="AE29" s="21" t="n">
        <v>1568363820</v>
      </c>
      <c r="AF29" s="21" t="n">
        <v>1624555112</v>
      </c>
      <c r="AG29" s="21" t="n">
        <v>1682614950</v>
      </c>
      <c r="AH29" s="21" t="n">
        <v>1742603046</v>
      </c>
      <c r="AI29" s="21" t="n">
        <v>1804580979</v>
      </c>
      <c r="AJ29" s="21" t="n">
        <v>1868612247</v>
      </c>
      <c r="AK29" s="21" t="n">
        <v>1934762329</v>
      </c>
      <c r="AL29" s="21" t="n">
        <v>2003098748</v>
      </c>
      <c r="AM29" s="21" t="n">
        <v>2073691130</v>
      </c>
      <c r="AN29" s="21" t="n">
        <v>2146611273</v>
      </c>
      <c r="AO29" s="21" t="n">
        <v>2221933208</v>
      </c>
      <c r="AP29" s="21" t="n">
        <v>2299733273</v>
      </c>
      <c r="AQ29" s="21" t="n">
        <v>2380090181</v>
      </c>
      <c r="AR29" s="21" t="n">
        <v>2463085095</v>
      </c>
      <c r="AS29" s="21" t="n">
        <v>2548801700</v>
      </c>
      <c r="AT29" s="21" t="n">
        <v>2637326284</v>
      </c>
      <c r="AU29" s="21" t="n">
        <v>2728747817</v>
      </c>
      <c r="AV29" s="21" t="n">
        <v>2823158030</v>
      </c>
      <c r="AW29" s="21" t="n">
        <v>2920651506</v>
      </c>
      <c r="AX29" s="21" t="n">
        <v>3021325760</v>
      </c>
      <c r="AY29" s="21" t="n">
        <v>3125281337</v>
      </c>
      <c r="AZ29" s="21" t="n">
        <v>3232621896</v>
      </c>
      <c r="BA29" s="21" t="n">
        <v>3343454315</v>
      </c>
      <c r="BB29" s="21" t="n">
        <v>3457888782</v>
      </c>
      <c r="BC29" s="21" t="n">
        <v>3576038899</v>
      </c>
      <c r="BD29" s="21" t="n">
        <v>3698021789</v>
      </c>
      <c r="BE29" s="21" t="n">
        <v>3823958200</v>
      </c>
      <c r="BF29" s="21" t="n">
        <v>3953972619</v>
      </c>
      <c r="BG29" s="21" t="n">
        <v>4088193383</v>
      </c>
      <c r="BH29" s="21" t="n">
        <v>4226752802</v>
      </c>
      <c r="BI29" s="21" t="n">
        <v>4369787277</v>
      </c>
      <c r="BJ29" s="21" t="n">
        <v>4517437423</v>
      </c>
      <c r="BK29" s="21" t="n">
        <v>4669848204</v>
      </c>
      <c r="BL29" s="21" t="n">
        <v>4827169062</v>
      </c>
      <c r="BM29" s="21" t="n">
        <v>4989554053</v>
      </c>
      <c r="BN29" s="21" t="n">
        <v>5157161993</v>
      </c>
      <c r="BO29" s="21" t="n">
        <v>5330156598</v>
      </c>
      <c r="BP29" s="21" t="n">
        <v>5508706635</v>
      </c>
      <c r="BQ29" s="21" t="n">
        <v>5692986081</v>
      </c>
      <c r="BR29" s="21" t="n">
        <v>5883174274</v>
      </c>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560000000</v>
      </c>
      <c r="D63" s="21" t="n">
        <v>582050000</v>
      </c>
      <c r="E63" s="21" t="n">
        <v>604866500</v>
      </c>
      <c r="F63" s="21" t="n">
        <v>628474595</v>
      </c>
      <c r="G63" s="21" t="n">
        <v>652900175</v>
      </c>
      <c r="H63" s="21" t="n">
        <v>678169949</v>
      </c>
      <c r="I63" s="21" t="n">
        <v>704311472</v>
      </c>
      <c r="J63" s="21" t="n">
        <v>731353168</v>
      </c>
      <c r="K63" s="21" t="n">
        <v>759324363</v>
      </c>
      <c r="L63" s="21" t="n">
        <v>788255306</v>
      </c>
      <c r="M63" s="21" t="n">
        <v>818177201</v>
      </c>
      <c r="N63" s="21" t="n">
        <v>849122238</v>
      </c>
      <c r="O63" s="21" t="n">
        <v>881123620</v>
      </c>
      <c r="P63" s="21" t="n">
        <v>914215598</v>
      </c>
      <c r="Q63" s="21" t="n">
        <v>948433501</v>
      </c>
      <c r="R63" s="21" t="n">
        <v>983813769</v>
      </c>
      <c r="S63" s="21" t="n">
        <v>1020393991</v>
      </c>
      <c r="T63" s="21" t="n">
        <v>1058212936</v>
      </c>
      <c r="U63" s="21" t="n">
        <v>1097310591</v>
      </c>
      <c r="V63" s="21" t="n">
        <v>1137728202</v>
      </c>
      <c r="W63" s="21" t="n">
        <v>1179508307</v>
      </c>
      <c r="X63" s="21" t="n">
        <v>1222694780</v>
      </c>
      <c r="Y63" s="21" t="n">
        <v>1267332871</v>
      </c>
      <c r="Z63" s="21" t="n">
        <v>1313469251</v>
      </c>
      <c r="AA63" s="21" t="n">
        <v>1361152050</v>
      </c>
      <c r="AB63" s="21" t="n">
        <v>1410430907</v>
      </c>
      <c r="AC63" s="21" t="n">
        <v>1461357015</v>
      </c>
      <c r="AD63" s="21" t="n">
        <v>1513983171</v>
      </c>
      <c r="AE63" s="21" t="n">
        <v>1568363820</v>
      </c>
      <c r="AF63" s="21" t="n">
        <v>1624555112</v>
      </c>
      <c r="AG63" s="21" t="n">
        <v>1682614950</v>
      </c>
      <c r="AH63" s="21" t="n">
        <v>1742603046</v>
      </c>
      <c r="AI63" s="21" t="n">
        <v>1804580979</v>
      </c>
      <c r="AJ63" s="21" t="n">
        <v>1868612247</v>
      </c>
      <c r="AK63" s="21" t="n">
        <v>1934762329</v>
      </c>
      <c r="AL63" s="21" t="n">
        <v>2003098748</v>
      </c>
      <c r="AM63" s="21" t="n">
        <v>2073691130</v>
      </c>
      <c r="AN63" s="21" t="n">
        <v>2146611273</v>
      </c>
      <c r="AO63" s="21" t="n">
        <v>2221933208</v>
      </c>
      <c r="AP63" s="21" t="n">
        <v>2299733273</v>
      </c>
      <c r="AQ63" s="21" t="n">
        <v>2380090181</v>
      </c>
      <c r="AR63" s="21" t="n">
        <v>2463085095</v>
      </c>
      <c r="AS63" s="21" t="n">
        <v>2548801700</v>
      </c>
      <c r="AT63" s="21" t="n">
        <v>2637326284</v>
      </c>
      <c r="AU63" s="21" t="n">
        <v>2728747817</v>
      </c>
      <c r="AV63" s="21" t="n">
        <v>2823158030</v>
      </c>
      <c r="AW63" s="21" t="n">
        <v>2920651506</v>
      </c>
      <c r="AX63" s="21" t="n">
        <v>3021325760</v>
      </c>
      <c r="AY63" s="21" t="n">
        <v>3125281337</v>
      </c>
      <c r="AZ63" s="21" t="n">
        <v>3232621896</v>
      </c>
      <c r="BA63" s="21" t="n">
        <v>3343454315</v>
      </c>
      <c r="BB63" s="21" t="n">
        <v>3457888782</v>
      </c>
      <c r="BC63" s="21" t="n">
        <v>3576038899</v>
      </c>
      <c r="BD63" s="21" t="n">
        <v>3698021789</v>
      </c>
      <c r="BE63" s="21" t="n">
        <v>3823958200</v>
      </c>
      <c r="BF63" s="21" t="n">
        <v>3953972619</v>
      </c>
      <c r="BG63" s="21" t="n">
        <v>4088193383</v>
      </c>
      <c r="BH63" s="21" t="n">
        <v>4226752802</v>
      </c>
      <c r="BI63" s="21" t="n">
        <v>4369787277</v>
      </c>
      <c r="BJ63" s="21" t="n">
        <v>4517437423</v>
      </c>
      <c r="BK63" s="21" t="n">
        <v>4669848204</v>
      </c>
      <c r="BL63" s="21" t="n">
        <v>4827169062</v>
      </c>
      <c r="BM63" s="21" t="n">
        <v>4989554053</v>
      </c>
      <c r="BN63" s="21" t="n">
        <v>5157161993</v>
      </c>
      <c r="BO63" s="21" t="n">
        <v>5330156598</v>
      </c>
      <c r="BP63" s="21" t="n">
        <v>5508706635</v>
      </c>
      <c r="BQ63" s="21" t="n">
        <v>5692986081</v>
      </c>
      <c r="BR63" s="21" t="n">
        <v>5883174274</v>
      </c>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-257000000</v>
      </c>
      <c r="D65" s="23" t="n">
        <v>-248709677</v>
      </c>
      <c r="E65" s="23" t="n">
        <v>-240419355</v>
      </c>
      <c r="F65" s="23" t="n">
        <v>-232129032</v>
      </c>
      <c r="G65" s="23" t="n">
        <v>-223838710</v>
      </c>
      <c r="H65" s="23" t="n">
        <v>-215548387</v>
      </c>
      <c r="I65" s="23" t="n">
        <v>-207258065</v>
      </c>
      <c r="J65" s="23" t="n">
        <v>-198967742</v>
      </c>
      <c r="K65" s="23" t="n">
        <v>-190677419</v>
      </c>
      <c r="L65" s="23" t="n">
        <v>-182387097</v>
      </c>
      <c r="M65" s="23" t="n">
        <v>-174096774</v>
      </c>
      <c r="N65" s="23" t="n">
        <v>-165806452</v>
      </c>
      <c r="O65" s="23" t="n">
        <v>-157516129</v>
      </c>
      <c r="P65" s="23" t="n">
        <v>-149225806</v>
      </c>
      <c r="Q65" s="23" t="n">
        <v>-140935484</v>
      </c>
      <c r="R65" s="23" t="n">
        <v>-132645161</v>
      </c>
      <c r="S65" s="23" t="n">
        <v>-124354839</v>
      </c>
      <c r="T65" s="23" t="n">
        <v>-116064516</v>
      </c>
      <c r="U65" s="23" t="n">
        <v>-107774194</v>
      </c>
      <c r="V65" s="23" t="n">
        <v>-99483871</v>
      </c>
      <c r="W65" s="23" t="n">
        <v>-91193548</v>
      </c>
      <c r="X65" s="23" t="n">
        <v>-82903226</v>
      </c>
      <c r="Y65" s="23" t="n">
        <v>-74612903</v>
      </c>
      <c r="Z65" s="23" t="n">
        <v>-66322581</v>
      </c>
      <c r="AA65" s="23" t="n">
        <v>-58032258</v>
      </c>
      <c r="AB65" s="23" t="n">
        <v>-49741935</v>
      </c>
      <c r="AC65" s="23" t="n">
        <v>-41451613</v>
      </c>
      <c r="AD65" s="23" t="n">
        <v>-33161290</v>
      </c>
      <c r="AE65" s="23" t="n">
        <v>-24870968</v>
      </c>
      <c r="AF65" s="23" t="n">
        <v>-16580645</v>
      </c>
      <c r="AG65" s="23" t="n">
        <v>-8290323</v>
      </c>
      <c r="AH65" s="23" t="n">
        <v>0</v>
      </c>
      <c r="AI65" s="23" t="n">
        <v>0</v>
      </c>
      <c r="AJ65" s="23" t="n">
        <v>0</v>
      </c>
      <c r="AK65" s="23" t="n">
        <v>0</v>
      </c>
      <c r="AL65" s="23" t="n">
        <v>0</v>
      </c>
      <c r="AM65" s="23" t="n">
        <v>0</v>
      </c>
      <c r="AN65" s="23" t="n">
        <v>0</v>
      </c>
      <c r="AO65" s="23" t="n">
        <v>0</v>
      </c>
      <c r="AP65" s="23" t="n">
        <v>0</v>
      </c>
      <c r="AQ65" s="23" t="n">
        <v>0</v>
      </c>
      <c r="AR65" s="23" t="n">
        <v>0</v>
      </c>
      <c r="AS65" s="23" t="n">
        <v>0</v>
      </c>
      <c r="AT65" s="23" t="n">
        <v>0</v>
      </c>
      <c r="AU65" s="23" t="n">
        <v>0</v>
      </c>
      <c r="AV65" s="23" t="n">
        <v>0</v>
      </c>
      <c r="AW65" s="23" t="n">
        <v>0</v>
      </c>
      <c r="AX65" s="23" t="n">
        <v>0</v>
      </c>
      <c r="AY65" s="23" t="n">
        <v>0</v>
      </c>
      <c r="AZ65" s="23" t="n">
        <v>0</v>
      </c>
      <c r="BA65" s="23" t="n">
        <v>0</v>
      </c>
      <c r="BB65" s="23" t="n">
        <v>0</v>
      </c>
      <c r="BC65" s="23" t="n">
        <v>0</v>
      </c>
      <c r="BD65" s="23" t="n">
        <v>0</v>
      </c>
      <c r="BE65" s="23" t="n">
        <v>0</v>
      </c>
      <c r="BF65" s="23" t="n">
        <v>0</v>
      </c>
      <c r="BG65" s="23" t="n">
        <v>0</v>
      </c>
      <c r="BH65" s="23" t="n">
        <v>0</v>
      </c>
      <c r="BI65" s="23" t="n">
        <v>0</v>
      </c>
      <c r="BJ65" s="23" t="n">
        <v>0</v>
      </c>
      <c r="BK65" s="23" t="n">
        <v>0</v>
      </c>
      <c r="BL65" s="23" t="n">
        <v>0</v>
      </c>
      <c r="BM65" s="23" t="n">
        <v>0</v>
      </c>
      <c r="BN65" s="23" t="n">
        <v>0</v>
      </c>
      <c r="BO65" s="23" t="n">
        <v>0</v>
      </c>
      <c r="BP65" s="23" t="n">
        <v>0</v>
      </c>
      <c r="BQ65" s="23" t="n">
        <v>0</v>
      </c>
      <c r="BR65" s="23" t="n">
        <v>0</v>
      </c>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257000000</v>
      </c>
      <c r="D67" s="21" t="n">
        <v>248709677</v>
      </c>
      <c r="E67" s="21" t="n">
        <v>240419355</v>
      </c>
      <c r="F67" s="21" t="n">
        <v>232129032</v>
      </c>
      <c r="G67" s="21" t="n">
        <v>223838710</v>
      </c>
      <c r="H67" s="21" t="n">
        <v>215548387</v>
      </c>
      <c r="I67" s="21" t="n">
        <v>207258065</v>
      </c>
      <c r="J67" s="21" t="n">
        <v>198967742</v>
      </c>
      <c r="K67" s="21" t="n">
        <v>190677419</v>
      </c>
      <c r="L67" s="21" t="n">
        <v>182387097</v>
      </c>
      <c r="M67" s="21" t="n">
        <v>174096774</v>
      </c>
      <c r="N67" s="21" t="n">
        <v>165806452</v>
      </c>
      <c r="O67" s="21" t="n">
        <v>157516129</v>
      </c>
      <c r="P67" s="21" t="n">
        <v>149225806</v>
      </c>
      <c r="Q67" s="21" t="n">
        <v>140935484</v>
      </c>
      <c r="R67" s="21" t="n">
        <v>132645161</v>
      </c>
      <c r="S67" s="21" t="n">
        <v>124354839</v>
      </c>
      <c r="T67" s="21" t="n">
        <v>116064516</v>
      </c>
      <c r="U67" s="21" t="n">
        <v>107774194</v>
      </c>
      <c r="V67" s="21" t="n">
        <v>99483871</v>
      </c>
      <c r="W67" s="21" t="n">
        <v>91193548</v>
      </c>
      <c r="X67" s="21" t="n">
        <v>82903226</v>
      </c>
      <c r="Y67" s="21" t="n">
        <v>74612903</v>
      </c>
      <c r="Z67" s="21" t="n">
        <v>66322581</v>
      </c>
      <c r="AA67" s="21" t="n">
        <v>58032258</v>
      </c>
      <c r="AB67" s="21" t="n">
        <v>49741935</v>
      </c>
      <c r="AC67" s="21" t="n">
        <v>41451613</v>
      </c>
      <c r="AD67" s="21" t="n">
        <v>33161290</v>
      </c>
      <c r="AE67" s="21" t="n">
        <v>24870968</v>
      </c>
      <c r="AF67" s="21" t="n">
        <v>16580645</v>
      </c>
      <c r="AG67" s="21" t="n">
        <v>8290323</v>
      </c>
      <c r="AH67" s="21" t="n">
        <v>0</v>
      </c>
      <c r="AI67" s="21" t="n">
        <v>0</v>
      </c>
      <c r="AJ67" s="21" t="n">
        <v>0</v>
      </c>
      <c r="AK67" s="21" t="n">
        <v>0</v>
      </c>
      <c r="AL67" s="21" t="n">
        <v>0</v>
      </c>
      <c r="AM67" s="21" t="n">
        <v>0</v>
      </c>
      <c r="AN67" s="21" t="n">
        <v>0</v>
      </c>
      <c r="AO67" s="21" t="n">
        <v>0</v>
      </c>
      <c r="AP67" s="21" t="n">
        <v>0</v>
      </c>
      <c r="AQ67" s="21" t="n">
        <v>0</v>
      </c>
      <c r="AR67" s="21" t="n">
        <v>0</v>
      </c>
      <c r="AS67" s="21" t="n">
        <v>0</v>
      </c>
      <c r="AT67" s="21" t="n">
        <v>0</v>
      </c>
      <c r="AU67" s="21" t="n">
        <v>0</v>
      </c>
      <c r="AV67" s="21" t="n">
        <v>0</v>
      </c>
      <c r="AW67" s="21" t="n">
        <v>0</v>
      </c>
      <c r="AX67" s="21" t="n">
        <v>0</v>
      </c>
      <c r="AY67" s="21" t="n">
        <v>0</v>
      </c>
      <c r="AZ67" s="21" t="n">
        <v>0</v>
      </c>
      <c r="BA67" s="21" t="n">
        <v>0</v>
      </c>
      <c r="BB67" s="21" t="n">
        <v>0</v>
      </c>
      <c r="BC67" s="21" t="n">
        <v>0</v>
      </c>
      <c r="BD67" s="21" t="n">
        <v>0</v>
      </c>
      <c r="BE67" s="21" t="n">
        <v>0</v>
      </c>
      <c r="BF67" s="21" t="n">
        <v>0</v>
      </c>
      <c r="BG67" s="21" t="n">
        <v>0</v>
      </c>
      <c r="BH67" s="21" t="n">
        <v>0</v>
      </c>
      <c r="BI67" s="21" t="n">
        <v>0</v>
      </c>
      <c r="BJ67" s="21" t="n">
        <v>0</v>
      </c>
      <c r="BK67" s="21" t="n">
        <v>0</v>
      </c>
      <c r="BL67" s="21" t="n">
        <v>0</v>
      </c>
      <c r="BM67" s="21" t="n">
        <v>0</v>
      </c>
      <c r="BN67" s="21" t="n">
        <v>0</v>
      </c>
      <c r="BO67" s="21" t="n">
        <v>0</v>
      </c>
      <c r="BP67" s="21" t="n">
        <v>0</v>
      </c>
      <c r="BQ67" s="21" t="n">
        <v>0</v>
      </c>
      <c r="BR67" s="21" t="n">
        <v>0</v>
      </c>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2.18</v>
      </c>
      <c r="D91" s="21" t="n">
        <v>2.34</v>
      </c>
      <c r="E91" s="21" t="n">
        <v>2.52</v>
      </c>
      <c r="F91" s="21" t="n">
        <v>2.71</v>
      </c>
      <c r="G91" s="21" t="n">
        <v>2.92</v>
      </c>
      <c r="H91" s="21" t="n">
        <v>3.15</v>
      </c>
      <c r="I91" s="21" t="n">
        <v>3.4</v>
      </c>
      <c r="J91" s="21" t="n">
        <v>3.68</v>
      </c>
      <c r="K91" s="21" t="n">
        <v>3.98</v>
      </c>
      <c r="L91" s="21" t="n">
        <v>4.32</v>
      </c>
      <c r="M91" s="21" t="n">
        <v>4.7</v>
      </c>
      <c r="N91" s="21" t="n">
        <v>5.12</v>
      </c>
      <c r="O91" s="21" t="n">
        <v>5.59</v>
      </c>
      <c r="P91" s="21" t="n">
        <v>6.13</v>
      </c>
      <c r="Q91" s="21" t="n">
        <v>6.73</v>
      </c>
      <c r="R91" s="21" t="n">
        <v>7.42</v>
      </c>
      <c r="S91" s="21" t="n">
        <v>8.210000000000001</v>
      </c>
      <c r="T91" s="21" t="n">
        <v>9.119999999999999</v>
      </c>
      <c r="U91" s="21" t="n">
        <v>10.18</v>
      </c>
      <c r="V91" s="21" t="n">
        <v>11.44</v>
      </c>
      <c r="W91" s="21" t="n">
        <v>12.93</v>
      </c>
      <c r="X91" s="21" t="n">
        <v>14.75</v>
      </c>
      <c r="Y91" s="21" t="n">
        <v>16.99</v>
      </c>
      <c r="Z91" s="21" t="n">
        <v>19.8</v>
      </c>
      <c r="AA91" s="21" t="n">
        <v>23.46</v>
      </c>
      <c r="AB91" s="21" t="n">
        <v>28.35</v>
      </c>
      <c r="AC91" s="21" t="n">
        <v>35.25</v>
      </c>
      <c r="AD91" s="21" t="n">
        <v>45.66</v>
      </c>
      <c r="AE91" s="21" t="n">
        <v>63.06</v>
      </c>
      <c r="AF91" s="21" t="n">
        <v>97.98</v>
      </c>
      <c r="AG91" s="21" t="n">
        <v>202.96</v>
      </c>
      <c r="AH91" s="21" t="n">
        <v>99.98999999999999</v>
      </c>
      <c r="AI91" s="21" t="n">
        <v>99.98999999999999</v>
      </c>
      <c r="AJ91" s="21" t="n">
        <v>99.98999999999999</v>
      </c>
      <c r="AK91" s="21" t="n">
        <v>99.98999999999999</v>
      </c>
      <c r="AL91" s="21" t="n">
        <v>99.98999999999999</v>
      </c>
      <c r="AM91" s="21" t="n">
        <v>99.98999999999999</v>
      </c>
      <c r="AN91" s="21" t="n">
        <v>99.98999999999999</v>
      </c>
      <c r="AO91" s="21" t="n">
        <v>99.98999999999999</v>
      </c>
      <c r="AP91" s="21" t="n">
        <v>99.98999999999999</v>
      </c>
      <c r="AQ91" s="21" t="n">
        <v>99.98999999999999</v>
      </c>
      <c r="AR91" s="21" t="n">
        <v>99.98999999999999</v>
      </c>
      <c r="AS91" s="21" t="n">
        <v>99.98999999999999</v>
      </c>
      <c r="AT91" s="21" t="n">
        <v>99.98999999999999</v>
      </c>
      <c r="AU91" s="21" t="n">
        <v>99.98999999999999</v>
      </c>
      <c r="AV91" s="21" t="n">
        <v>99.98999999999999</v>
      </c>
      <c r="AW91" s="21" t="n">
        <v>99.98999999999999</v>
      </c>
      <c r="AX91" s="21" t="n">
        <v>99.98999999999999</v>
      </c>
      <c r="AY91" s="21" t="n">
        <v>99.98999999999999</v>
      </c>
      <c r="AZ91" s="21" t="n">
        <v>99.98999999999999</v>
      </c>
      <c r="BA91" s="21" t="n">
        <v>99.98999999999999</v>
      </c>
      <c r="BB91" s="21" t="n">
        <v>99.98999999999999</v>
      </c>
      <c r="BC91" s="21" t="n">
        <v>99.98999999999999</v>
      </c>
      <c r="BD91" s="21" t="n">
        <v>99.98999999999999</v>
      </c>
      <c r="BE91" s="21" t="n">
        <v>99.98999999999999</v>
      </c>
      <c r="BF91" s="21" t="n">
        <v>99.98999999999999</v>
      </c>
      <c r="BG91" s="21" t="n">
        <v>99.98999999999999</v>
      </c>
      <c r="BH91" s="21" t="n">
        <v>99.98999999999999</v>
      </c>
      <c r="BI91" s="21" t="n">
        <v>99.98999999999999</v>
      </c>
      <c r="BJ91" s="21" t="n">
        <v>99.98999999999999</v>
      </c>
      <c r="BK91" s="21" t="n">
        <v>99.98999999999999</v>
      </c>
      <c r="BL91" s="21" t="n">
        <v>99.98999999999999</v>
      </c>
      <c r="BM91" s="21" t="n">
        <v>99.98999999999999</v>
      </c>
      <c r="BN91" s="21" t="n">
        <v>99.98999999999999</v>
      </c>
      <c r="BO91" s="21" t="n">
        <v>99.98999999999999</v>
      </c>
      <c r="BP91" s="21" t="n">
        <v>99.98999999999999</v>
      </c>
      <c r="BQ91" s="21" t="n">
        <v>99.98999999999999</v>
      </c>
      <c r="BR91" s="21" t="n">
        <v>99.98999999999999</v>
      </c>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6.96</v>
      </c>
      <c r="D93" s="21" t="n">
        <v>6.48</v>
      </c>
      <c r="E93" s="21" t="n">
        <v>6.03</v>
      </c>
      <c r="F93" s="21" t="n">
        <v>5.6</v>
      </c>
      <c r="G93" s="21" t="n">
        <v>5.2</v>
      </c>
      <c r="H93" s="21" t="n">
        <v>4.82</v>
      </c>
      <c r="I93" s="21" t="n">
        <v>4.47</v>
      </c>
      <c r="J93" s="21" t="n">
        <v>4.13</v>
      </c>
      <c r="K93" s="21" t="n">
        <v>3.81</v>
      </c>
      <c r="L93" s="21" t="n">
        <v>3.51</v>
      </c>
      <c r="M93" s="21" t="n">
        <v>3.23</v>
      </c>
      <c r="N93" s="21" t="n">
        <v>2.96</v>
      </c>
      <c r="O93" s="21" t="n">
        <v>2.71</v>
      </c>
      <c r="P93" s="21" t="n">
        <v>2.48</v>
      </c>
      <c r="Q93" s="21" t="n">
        <v>2.25</v>
      </c>
      <c r="R93" s="21" t="n">
        <v>2.05</v>
      </c>
      <c r="S93" s="21" t="n">
        <v>1.85</v>
      </c>
      <c r="T93" s="21" t="n">
        <v>1.66</v>
      </c>
      <c r="U93" s="21" t="n">
        <v>1.49</v>
      </c>
      <c r="V93" s="21" t="n">
        <v>1.33</v>
      </c>
      <c r="W93" s="21" t="n">
        <v>1.17</v>
      </c>
      <c r="X93" s="21" t="n">
        <v>1.03</v>
      </c>
      <c r="Y93" s="21" t="n">
        <v>0.89</v>
      </c>
      <c r="Z93" s="21" t="n">
        <v>0.77</v>
      </c>
      <c r="AA93" s="21" t="n">
        <v>0.65</v>
      </c>
      <c r="AB93" s="21" t="n">
        <v>0.54</v>
      </c>
      <c r="AC93" s="21" t="n">
        <v>0.43</v>
      </c>
      <c r="AD93" s="21" t="n">
        <v>0.33</v>
      </c>
      <c r="AE93" s="21" t="n">
        <v>0.24</v>
      </c>
      <c r="AF93" s="21" t="n">
        <v>0.15</v>
      </c>
      <c r="AG93" s="21" t="n">
        <v>0.07000000000000001</v>
      </c>
      <c r="AH93" s="21" t="n">
        <v>0</v>
      </c>
      <c r="AI93" s="21" t="n">
        <v>0</v>
      </c>
      <c r="AJ93" s="21" t="n">
        <v>0</v>
      </c>
      <c r="AK93" s="21" t="n">
        <v>0</v>
      </c>
      <c r="AL93" s="21" t="n">
        <v>0</v>
      </c>
      <c r="AM93" s="21" t="n">
        <v>0</v>
      </c>
      <c r="AN93" s="21" t="n">
        <v>0</v>
      </c>
      <c r="AO93" s="21" t="n">
        <v>0</v>
      </c>
      <c r="AP93" s="21" t="n">
        <v>0</v>
      </c>
      <c r="AQ93" s="21" t="n">
        <v>0</v>
      </c>
      <c r="AR93" s="21" t="n">
        <v>0</v>
      </c>
      <c r="AS93" s="21" t="n">
        <v>0</v>
      </c>
      <c r="AT93" s="21" t="n">
        <v>0</v>
      </c>
      <c r="AU93" s="21" t="n">
        <v>0</v>
      </c>
      <c r="AV93" s="21" t="n">
        <v>0</v>
      </c>
      <c r="AW93" s="21" t="n">
        <v>0</v>
      </c>
      <c r="AX93" s="21" t="n">
        <v>0</v>
      </c>
      <c r="AY93" s="21" t="n">
        <v>0</v>
      </c>
      <c r="AZ93" s="21" t="n">
        <v>0</v>
      </c>
      <c r="BA93" s="21" t="n">
        <v>0</v>
      </c>
      <c r="BB93" s="21" t="n">
        <v>0</v>
      </c>
      <c r="BC93" s="21" t="n">
        <v>0</v>
      </c>
      <c r="BD93" s="21" t="n">
        <v>0</v>
      </c>
      <c r="BE93" s="21" t="n">
        <v>0</v>
      </c>
      <c r="BF93" s="21" t="n">
        <v>0</v>
      </c>
      <c r="BG93" s="21" t="n">
        <v>0</v>
      </c>
      <c r="BH93" s="21" t="n">
        <v>0</v>
      </c>
      <c r="BI93" s="21" t="n">
        <v>0</v>
      </c>
      <c r="BJ93" s="21" t="n">
        <v>0</v>
      </c>
      <c r="BK93" s="21" t="n">
        <v>0</v>
      </c>
      <c r="BL93" s="21" t="n">
        <v>0</v>
      </c>
      <c r="BM93" s="21" t="n">
        <v>0</v>
      </c>
      <c r="BN93" s="21" t="n">
        <v>0</v>
      </c>
      <c r="BO93" s="21" t="n">
        <v>0</v>
      </c>
      <c r="BP93" s="21" t="n">
        <v>0</v>
      </c>
      <c r="BQ93" s="21" t="n">
        <v>0</v>
      </c>
      <c r="BR93" s="21" t="n">
        <v>0</v>
      </c>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68</v>
      </c>
      <c r="D99" s="23" t="n">
        <v>67</v>
      </c>
      <c r="E99" s="23" t="n">
        <v>66</v>
      </c>
      <c r="F99" s="23" t="n">
        <v>65</v>
      </c>
      <c r="G99" s="23" t="n">
        <v>64</v>
      </c>
      <c r="H99" s="23" t="n">
        <v>63</v>
      </c>
      <c r="I99" s="23" t="n">
        <v>62</v>
      </c>
      <c r="J99" s="23" t="n">
        <v>61</v>
      </c>
      <c r="K99" s="23" t="n">
        <v>60</v>
      </c>
      <c r="L99" s="23" t="n">
        <v>59</v>
      </c>
      <c r="M99" s="23" t="n">
        <v>58</v>
      </c>
      <c r="N99" s="23" t="n">
        <v>57</v>
      </c>
      <c r="O99" s="23" t="n">
        <v>56</v>
      </c>
      <c r="P99" s="23" t="n">
        <v>55</v>
      </c>
      <c r="Q99" s="23" t="n">
        <v>54</v>
      </c>
      <c r="R99" s="23" t="n">
        <v>53</v>
      </c>
      <c r="S99" s="23" t="n">
        <v>52</v>
      </c>
      <c r="T99" s="23" t="n">
        <v>51</v>
      </c>
      <c r="U99" s="23" t="n">
        <v>50</v>
      </c>
      <c r="V99" s="23" t="n">
        <v>49</v>
      </c>
      <c r="W99" s="23" t="n">
        <v>48</v>
      </c>
      <c r="X99" s="23" t="n">
        <v>47</v>
      </c>
      <c r="Y99" s="23" t="n">
        <v>46</v>
      </c>
      <c r="Z99" s="23" t="n">
        <v>45</v>
      </c>
      <c r="AA99" s="23" t="n">
        <v>44</v>
      </c>
      <c r="AB99" s="23" t="n">
        <v>43</v>
      </c>
      <c r="AC99" s="23" t="n">
        <v>42</v>
      </c>
      <c r="AD99" s="23" t="n">
        <v>41</v>
      </c>
      <c r="AE99" s="23" t="n">
        <v>40</v>
      </c>
      <c r="AF99" s="23" t="n">
        <v>39</v>
      </c>
      <c r="AG99" s="23" t="n">
        <v>38</v>
      </c>
      <c r="AH99" s="23" t="n">
        <v>37</v>
      </c>
      <c r="AI99" s="23" t="n">
        <v>36</v>
      </c>
      <c r="AJ99" s="23" t="n">
        <v>35</v>
      </c>
      <c r="AK99" s="23" t="n">
        <v>34</v>
      </c>
      <c r="AL99" s="23" t="n">
        <v>33</v>
      </c>
      <c r="AM99" s="23" t="n">
        <v>32</v>
      </c>
      <c r="AN99" s="23" t="n">
        <v>31</v>
      </c>
      <c r="AO99" s="23" t="n">
        <v>30</v>
      </c>
      <c r="AP99" s="23" t="n">
        <v>29</v>
      </c>
      <c r="AQ99" s="23" t="n">
        <v>28</v>
      </c>
      <c r="AR99" s="23" t="n">
        <v>27</v>
      </c>
      <c r="AS99" s="23" t="n">
        <v>26</v>
      </c>
      <c r="AT99" s="23" t="n">
        <v>25</v>
      </c>
      <c r="AU99" s="23" t="n">
        <v>24</v>
      </c>
      <c r="AV99" s="23" t="n">
        <v>23</v>
      </c>
      <c r="AW99" s="23" t="n">
        <v>22</v>
      </c>
      <c r="AX99" s="23" t="n">
        <v>21</v>
      </c>
      <c r="AY99" s="23" t="n">
        <v>20</v>
      </c>
      <c r="AZ99" s="23" t="n">
        <v>19</v>
      </c>
      <c r="BA99" s="23" t="n">
        <v>18</v>
      </c>
      <c r="BB99" s="23" t="n">
        <v>17</v>
      </c>
      <c r="BC99" s="23" t="n">
        <v>16</v>
      </c>
      <c r="BD99" s="23" t="n">
        <v>15</v>
      </c>
      <c r="BE99" s="23" t="n">
        <v>14</v>
      </c>
      <c r="BF99" s="23" t="n">
        <v>13</v>
      </c>
      <c r="BG99" s="23" t="n">
        <v>12</v>
      </c>
      <c r="BH99" s="23" t="n">
        <v>11</v>
      </c>
      <c r="BI99" s="23" t="n">
        <v>10</v>
      </c>
      <c r="BJ99" s="23" t="n">
        <v>9</v>
      </c>
      <c r="BK99" s="23" t="n">
        <v>8</v>
      </c>
      <c r="BL99" s="23" t="n">
        <v>7</v>
      </c>
      <c r="BM99" s="23" t="n">
        <v>6</v>
      </c>
      <c r="BN99" s="23" t="n">
        <v>5</v>
      </c>
      <c r="BO99" s="23" t="n">
        <v>4</v>
      </c>
      <c r="BP99" s="23" t="n">
        <v>3</v>
      </c>
      <c r="BQ99" s="23" t="n">
        <v>2</v>
      </c>
      <c r="BR99" s="23" t="n">
        <v>1</v>
      </c>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CREDIT CASE FORECAST — Stress assumptions applied to management case.</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1085000000</v>
      </c>
      <c r="D4" s="21" t="n">
        <v>1117550000</v>
      </c>
      <c r="E4" s="21" t="n">
        <v>1151076500</v>
      </c>
      <c r="F4" s="21" t="n">
        <v>1185608795</v>
      </c>
      <c r="G4" s="21" t="n">
        <v>1221177059</v>
      </c>
      <c r="H4" s="21" t="n">
        <v>1257812371</v>
      </c>
      <c r="I4" s="21" t="n">
        <v>1295546742</v>
      </c>
      <c r="J4" s="21" t="n">
        <v>1334413144</v>
      </c>
      <c r="K4" s="21" t="n">
        <v>1374445538</v>
      </c>
      <c r="L4" s="21" t="n">
        <v>1415678904</v>
      </c>
      <c r="M4" s="21" t="n">
        <v>1458149272</v>
      </c>
      <c r="N4" s="21" t="n">
        <v>1501893750</v>
      </c>
      <c r="O4" s="21" t="n">
        <v>1546950562</v>
      </c>
      <c r="P4" s="21" t="n">
        <v>1593359079</v>
      </c>
      <c r="Q4" s="21" t="n">
        <v>1641159851</v>
      </c>
      <c r="R4" s="21" t="n">
        <v>1690394647</v>
      </c>
      <c r="S4" s="21" t="n">
        <v>1741106486</v>
      </c>
      <c r="T4" s="21" t="n">
        <v>1793339681</v>
      </c>
      <c r="U4" s="21" t="n">
        <v>1847139871</v>
      </c>
      <c r="V4" s="21" t="n">
        <v>1902554068</v>
      </c>
      <c r="W4" s="21" t="n">
        <v>1959630690</v>
      </c>
      <c r="X4" s="21" t="n">
        <v>2018419610</v>
      </c>
      <c r="Y4" s="21" t="n">
        <v>2078972199</v>
      </c>
      <c r="Z4" s="21" t="n">
        <v>2141341365</v>
      </c>
      <c r="AA4" s="21" t="n">
        <v>2205581606</v>
      </c>
      <c r="AB4" s="21" t="n">
        <v>2271749054</v>
      </c>
      <c r="AC4" s="21" t="n">
        <v>2339901525</v>
      </c>
      <c r="AD4" s="21" t="n">
        <v>2410098571</v>
      </c>
      <c r="AE4" s="21" t="n">
        <v>2482401528</v>
      </c>
      <c r="AF4" s="21" t="n">
        <v>2556873574</v>
      </c>
      <c r="AG4" s="21" t="n">
        <v>2633579781</v>
      </c>
      <c r="AH4" s="21" t="n">
        <v>2712587175</v>
      </c>
      <c r="AI4" s="21" t="n">
        <v>2793964790</v>
      </c>
      <c r="AJ4" s="21" t="n">
        <v>2877783734</v>
      </c>
      <c r="AK4" s="21" t="n">
        <v>2964117246</v>
      </c>
      <c r="AL4" s="21" t="n">
        <v>3053040763</v>
      </c>
      <c r="AM4" s="21" t="n">
        <v>3144631986</v>
      </c>
      <c r="AN4" s="21" t="n">
        <v>3238970945</v>
      </c>
      <c r="AO4" s="21" t="n">
        <v>3336140074</v>
      </c>
      <c r="AP4" s="21" t="n">
        <v>3436224276</v>
      </c>
      <c r="AQ4" s="21" t="n">
        <v>3539311004</v>
      </c>
      <c r="AR4" s="21" t="n">
        <v>3645490334</v>
      </c>
      <c r="AS4" s="21" t="n">
        <v>3754855044</v>
      </c>
      <c r="AT4" s="21" t="n">
        <v>3867500696</v>
      </c>
      <c r="AU4" s="21" t="n">
        <v>3983525717</v>
      </c>
      <c r="AV4" s="21" t="n">
        <v>4103031488</v>
      </c>
      <c r="AW4" s="21" t="n">
        <v>4226122433</v>
      </c>
      <c r="AX4" s="21" t="n">
        <v>4352906106</v>
      </c>
      <c r="AY4" s="21" t="n">
        <v>4483493289</v>
      </c>
      <c r="AZ4" s="21" t="n">
        <v>4617998088</v>
      </c>
      <c r="BA4" s="21" t="n">
        <v>4756538030</v>
      </c>
      <c r="BB4" s="21" t="n">
        <v>4899234171</v>
      </c>
      <c r="BC4" s="21" t="n">
        <v>5046211196</v>
      </c>
      <c r="BD4" s="21" t="n">
        <v>5197597532</v>
      </c>
      <c r="BE4" s="21" t="n">
        <v>5353525458</v>
      </c>
      <c r="BF4" s="21" t="n">
        <v>5514131222</v>
      </c>
      <c r="BG4" s="21" t="n">
        <v>5679555159</v>
      </c>
      <c r="BH4" s="21" t="n">
        <v>5849941813</v>
      </c>
      <c r="BI4" s="21" t="n">
        <v>6025440068</v>
      </c>
      <c r="BJ4" s="21" t="n">
        <v>6206203270</v>
      </c>
      <c r="BK4" s="21" t="n">
        <v>6392389368</v>
      </c>
      <c r="BL4" s="21" t="n">
        <v>6584161049</v>
      </c>
      <c r="BM4" s="21" t="n">
        <v>6781685880</v>
      </c>
      <c r="BN4" s="21" t="n">
        <v>6985136457</v>
      </c>
      <c r="BO4" s="21" t="n">
        <v>7194690551</v>
      </c>
      <c r="BP4" s="21" t="n">
        <v>7410531267</v>
      </c>
      <c r="BQ4" s="21" t="n">
        <v>7632847205</v>
      </c>
      <c r="BR4" s="21" t="n">
        <v>7861832621</v>
      </c>
      <c r="BS4" s="21" t="n"/>
      <c r="BT4" s="21" t="n"/>
      <c r="BU4" s="21" t="n"/>
      <c r="BV4" s="21" t="n"/>
      <c r="BW4" s="21" t="n"/>
      <c r="BX4" s="21" t="n"/>
      <c r="BY4" s="21" t="n"/>
      <c r="BZ4" s="21" t="n"/>
      <c r="CA4" s="21" t="n"/>
      <c r="CB4" s="21" t="n"/>
      <c r="CC4" s="21" t="n"/>
      <c r="CD4" s="21" t="n"/>
    </row>
    <row r="5">
      <c r="A5" s="19" t="inlineStr">
        <is>
          <t>revenue_1</t>
        </is>
      </c>
      <c r="B5" s="22" t="inlineStr">
        <is>
          <t>Revenue 1</t>
        </is>
      </c>
      <c r="C5" s="23" t="n">
        <v>958000000</v>
      </c>
      <c r="D5" s="23" t="n">
        <v>986740000</v>
      </c>
      <c r="E5" s="23" t="n">
        <v>1016342200</v>
      </c>
      <c r="F5" s="23" t="n">
        <v>1046832466</v>
      </c>
      <c r="G5" s="23" t="n">
        <v>1078237440</v>
      </c>
      <c r="H5" s="23" t="n">
        <v>1110584563</v>
      </c>
      <c r="I5" s="23" t="n">
        <v>1143902100</v>
      </c>
      <c r="J5" s="23" t="n">
        <v>1178219163</v>
      </c>
      <c r="K5" s="23" t="n">
        <v>1213565738</v>
      </c>
      <c r="L5" s="23" t="n">
        <v>1249972710</v>
      </c>
      <c r="M5" s="23" t="n">
        <v>1287471891</v>
      </c>
      <c r="N5" s="23" t="n">
        <v>1326096048</v>
      </c>
      <c r="O5" s="23" t="n">
        <v>1365878930</v>
      </c>
      <c r="P5" s="23" t="n">
        <v>1406855297</v>
      </c>
      <c r="Q5" s="23" t="n">
        <v>1449060956</v>
      </c>
      <c r="R5" s="23" t="n">
        <v>1492532785</v>
      </c>
      <c r="S5" s="23" t="n">
        <v>1537308769</v>
      </c>
      <c r="T5" s="23" t="n">
        <v>1583428032</v>
      </c>
      <c r="U5" s="23" t="n">
        <v>1630930873</v>
      </c>
      <c r="V5" s="23" t="n">
        <v>1679858799</v>
      </c>
      <c r="W5" s="23" t="n">
        <v>1730254563</v>
      </c>
      <c r="X5" s="23" t="n">
        <v>1782162200</v>
      </c>
      <c r="Y5" s="23" t="n">
        <v>1835627066</v>
      </c>
      <c r="Z5" s="23" t="n">
        <v>1890695878</v>
      </c>
      <c r="AA5" s="23" t="n">
        <v>1947416754</v>
      </c>
      <c r="AB5" s="23" t="n">
        <v>2005839257</v>
      </c>
      <c r="AC5" s="23" t="n">
        <v>2066014434</v>
      </c>
      <c r="AD5" s="23" t="n">
        <v>2127994867</v>
      </c>
      <c r="AE5" s="23" t="n">
        <v>2191834713</v>
      </c>
      <c r="AF5" s="23" t="n">
        <v>2257589755</v>
      </c>
      <c r="AG5" s="23" t="n">
        <v>2325317447</v>
      </c>
      <c r="AH5" s="23" t="n">
        <v>2395076971</v>
      </c>
      <c r="AI5" s="23" t="n">
        <v>2466929280</v>
      </c>
      <c r="AJ5" s="23" t="n">
        <v>2540937158</v>
      </c>
      <c r="AK5" s="23" t="n">
        <v>2617165273</v>
      </c>
      <c r="AL5" s="23" t="n">
        <v>2695680231</v>
      </c>
      <c r="AM5" s="23" t="n">
        <v>2776550638</v>
      </c>
      <c r="AN5" s="23" t="n">
        <v>2859847157</v>
      </c>
      <c r="AO5" s="23" t="n">
        <v>2945642572</v>
      </c>
      <c r="AP5" s="23" t="n">
        <v>3034011849</v>
      </c>
      <c r="AQ5" s="23" t="n">
        <v>3125032205</v>
      </c>
      <c r="AR5" s="23" t="n">
        <v>3218783171</v>
      </c>
      <c r="AS5" s="23" t="n">
        <v>3315346666</v>
      </c>
      <c r="AT5" s="23" t="n">
        <v>3414807066</v>
      </c>
      <c r="AU5" s="23" t="n">
        <v>3517251278</v>
      </c>
      <c r="AV5" s="23" t="n">
        <v>3622768816</v>
      </c>
      <c r="AW5" s="23" t="n">
        <v>3731451881</v>
      </c>
      <c r="AX5" s="23" t="n">
        <v>3843395437</v>
      </c>
      <c r="AY5" s="23" t="n">
        <v>3958697300</v>
      </c>
      <c r="AZ5" s="23" t="n">
        <v>4077458219</v>
      </c>
      <c r="BA5" s="23" t="n">
        <v>4199781966</v>
      </c>
      <c r="BB5" s="23" t="n">
        <v>4325775425</v>
      </c>
      <c r="BC5" s="23" t="n">
        <v>4455548688</v>
      </c>
      <c r="BD5" s="23" t="n">
        <v>4589215148</v>
      </c>
      <c r="BE5" s="23" t="n">
        <v>4726891603</v>
      </c>
      <c r="BF5" s="23" t="n">
        <v>4868698351</v>
      </c>
      <c r="BG5" s="23" t="n">
        <v>5014759301</v>
      </c>
      <c r="BH5" s="23" t="n">
        <v>5165202080</v>
      </c>
      <c r="BI5" s="23" t="n">
        <v>5320158143</v>
      </c>
      <c r="BJ5" s="23" t="n">
        <v>5479762887</v>
      </c>
      <c r="BK5" s="23" t="n">
        <v>5644155774</v>
      </c>
      <c r="BL5" s="23" t="n">
        <v>5813480447</v>
      </c>
      <c r="BM5" s="23" t="n">
        <v>5987884860</v>
      </c>
      <c r="BN5" s="23" t="n">
        <v>6167521406</v>
      </c>
      <c r="BO5" s="23" t="n">
        <v>6352547048</v>
      </c>
      <c r="BP5" s="23" t="n">
        <v>6543123460</v>
      </c>
      <c r="BQ5" s="23" t="n">
        <v>6739417164</v>
      </c>
      <c r="BR5" s="23" t="n">
        <v>6941599678</v>
      </c>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v>126000000</v>
      </c>
      <c r="D7" s="23" t="n">
        <v>129780000</v>
      </c>
      <c r="E7" s="23" t="n">
        <v>133673400</v>
      </c>
      <c r="F7" s="23" t="n">
        <v>137683602</v>
      </c>
      <c r="G7" s="23" t="n">
        <v>141814110</v>
      </c>
      <c r="H7" s="23" t="n">
        <v>146068533</v>
      </c>
      <c r="I7" s="23" t="n">
        <v>150450589</v>
      </c>
      <c r="J7" s="23" t="n">
        <v>154964107</v>
      </c>
      <c r="K7" s="23" t="n">
        <v>159613030</v>
      </c>
      <c r="L7" s="23" t="n">
        <v>164401421</v>
      </c>
      <c r="M7" s="23" t="n">
        <v>169333464</v>
      </c>
      <c r="N7" s="23" t="n">
        <v>174413468</v>
      </c>
      <c r="O7" s="23" t="n">
        <v>179645872</v>
      </c>
      <c r="P7" s="23" t="n">
        <v>185035248</v>
      </c>
      <c r="Q7" s="23" t="n">
        <v>190586305</v>
      </c>
      <c r="R7" s="23" t="n">
        <v>196303894</v>
      </c>
      <c r="S7" s="23" t="n">
        <v>202193011</v>
      </c>
      <c r="T7" s="23" t="n">
        <v>208258802</v>
      </c>
      <c r="U7" s="23" t="n">
        <v>214506566</v>
      </c>
      <c r="V7" s="23" t="n">
        <v>220941763</v>
      </c>
      <c r="W7" s="23" t="n">
        <v>227570016</v>
      </c>
      <c r="X7" s="23" t="n">
        <v>234397116</v>
      </c>
      <c r="Y7" s="23" t="n">
        <v>241429030</v>
      </c>
      <c r="Z7" s="23" t="n">
        <v>248671900</v>
      </c>
      <c r="AA7" s="23" t="n">
        <v>256132057</v>
      </c>
      <c r="AB7" s="23" t="n">
        <v>263816019</v>
      </c>
      <c r="AC7" s="23" t="n">
        <v>271730500</v>
      </c>
      <c r="AD7" s="23" t="n">
        <v>279882415</v>
      </c>
      <c r="AE7" s="23" t="n">
        <v>288278887</v>
      </c>
      <c r="AF7" s="23" t="n">
        <v>296927254</v>
      </c>
      <c r="AG7" s="23" t="n">
        <v>305835071</v>
      </c>
      <c r="AH7" s="23" t="n">
        <v>315010124</v>
      </c>
      <c r="AI7" s="23" t="n">
        <v>324460427</v>
      </c>
      <c r="AJ7" s="23" t="n">
        <v>334194240</v>
      </c>
      <c r="AK7" s="23" t="n">
        <v>344220067</v>
      </c>
      <c r="AL7" s="23" t="n">
        <v>354546669</v>
      </c>
      <c r="AM7" s="23" t="n">
        <v>365183069</v>
      </c>
      <c r="AN7" s="23" t="n">
        <v>376138561</v>
      </c>
      <c r="AO7" s="23" t="n">
        <v>387422718</v>
      </c>
      <c r="AP7" s="23" t="n">
        <v>399045400</v>
      </c>
      <c r="AQ7" s="23" t="n">
        <v>411016762</v>
      </c>
      <c r="AR7" s="23" t="n">
        <v>423347265</v>
      </c>
      <c r="AS7" s="23" t="n">
        <v>436047683</v>
      </c>
      <c r="AT7" s="23" t="n">
        <v>449129113</v>
      </c>
      <c r="AU7" s="23" t="n">
        <v>462602986</v>
      </c>
      <c r="AV7" s="23" t="n">
        <v>476481076</v>
      </c>
      <c r="AW7" s="23" t="n">
        <v>490775508</v>
      </c>
      <c r="AX7" s="23" t="n">
        <v>505498774</v>
      </c>
      <c r="AY7" s="23" t="n">
        <v>520663737</v>
      </c>
      <c r="AZ7" s="23" t="n">
        <v>536283649</v>
      </c>
      <c r="BA7" s="23" t="n">
        <v>552372158</v>
      </c>
      <c r="BB7" s="23" t="n">
        <v>568943323</v>
      </c>
      <c r="BC7" s="23" t="n">
        <v>586011623</v>
      </c>
      <c r="BD7" s="23" t="n">
        <v>603591971</v>
      </c>
      <c r="BE7" s="23" t="n">
        <v>621699731</v>
      </c>
      <c r="BF7" s="23" t="n">
        <v>640350723</v>
      </c>
      <c r="BG7" s="23" t="n">
        <v>659561244</v>
      </c>
      <c r="BH7" s="23" t="n">
        <v>679348082</v>
      </c>
      <c r="BI7" s="23" t="n">
        <v>699728524</v>
      </c>
      <c r="BJ7" s="23" t="n">
        <v>720720380</v>
      </c>
      <c r="BK7" s="23" t="n">
        <v>742341991</v>
      </c>
      <c r="BL7" s="23" t="n">
        <v>764612251</v>
      </c>
      <c r="BM7" s="23" t="n">
        <v>787550618</v>
      </c>
      <c r="BN7" s="23" t="n">
        <v>811177137</v>
      </c>
      <c r="BO7" s="23" t="n">
        <v>835512451</v>
      </c>
      <c r="BP7" s="23" t="n">
        <v>860577825</v>
      </c>
      <c r="BQ7" s="23" t="n">
        <v>886395159</v>
      </c>
      <c r="BR7" s="23" t="n">
        <v>912987014</v>
      </c>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-525000000</v>
      </c>
      <c r="D14" s="21" t="n">
        <v>-535500000</v>
      </c>
      <c r="E14" s="21" t="n">
        <v>-546210000</v>
      </c>
      <c r="F14" s="21" t="n">
        <v>-557134200</v>
      </c>
      <c r="G14" s="21" t="n">
        <v>-568276884</v>
      </c>
      <c r="H14" s="21" t="n">
        <v>-579642422</v>
      </c>
      <c r="I14" s="21" t="n">
        <v>-591235270</v>
      </c>
      <c r="J14" s="21" t="n">
        <v>-603059976</v>
      </c>
      <c r="K14" s="21" t="n">
        <v>-615121175</v>
      </c>
      <c r="L14" s="21" t="n">
        <v>-627423599</v>
      </c>
      <c r="M14" s="21" t="n">
        <v>-639972070</v>
      </c>
      <c r="N14" s="21" t="n">
        <v>-652771512</v>
      </c>
      <c r="O14" s="21" t="n">
        <v>-665826942</v>
      </c>
      <c r="P14" s="21" t="n">
        <v>-679143481</v>
      </c>
      <c r="Q14" s="21" t="n">
        <v>-692726351</v>
      </c>
      <c r="R14" s="21" t="n">
        <v>-706580878</v>
      </c>
      <c r="S14" s="21" t="n">
        <v>-720712495</v>
      </c>
      <c r="T14" s="21" t="n">
        <v>-735126745</v>
      </c>
      <c r="U14" s="21" t="n">
        <v>-749829280</v>
      </c>
      <c r="V14" s="21" t="n">
        <v>-764825866</v>
      </c>
      <c r="W14" s="21" t="n">
        <v>-780122383</v>
      </c>
      <c r="X14" s="21" t="n">
        <v>-795724831</v>
      </c>
      <c r="Y14" s="21" t="n">
        <v>-811639327</v>
      </c>
      <c r="Z14" s="21" t="n">
        <v>-827872114</v>
      </c>
      <c r="AA14" s="21" t="n">
        <v>-844429556</v>
      </c>
      <c r="AB14" s="21" t="n">
        <v>-861318147</v>
      </c>
      <c r="AC14" s="21" t="n">
        <v>-878544510</v>
      </c>
      <c r="AD14" s="21" t="n">
        <v>-896115400</v>
      </c>
      <c r="AE14" s="21" t="n">
        <v>-914037708</v>
      </c>
      <c r="AF14" s="21" t="n">
        <v>-932318462</v>
      </c>
      <c r="AG14" s="21" t="n">
        <v>-950964832</v>
      </c>
      <c r="AH14" s="21" t="n">
        <v>-969984128</v>
      </c>
      <c r="AI14" s="21" t="n">
        <v>-989383811</v>
      </c>
      <c r="AJ14" s="21" t="n">
        <v>-1009171487</v>
      </c>
      <c r="AK14" s="21" t="n">
        <v>-1029354917</v>
      </c>
      <c r="AL14" s="21" t="n">
        <v>-1049942015</v>
      </c>
      <c r="AM14" s="21" t="n">
        <v>-1070940855</v>
      </c>
      <c r="AN14" s="21" t="n">
        <v>-1092359673</v>
      </c>
      <c r="AO14" s="21" t="n">
        <v>-1114206866</v>
      </c>
      <c r="AP14" s="21" t="n">
        <v>-1136491003</v>
      </c>
      <c r="AQ14" s="21" t="n">
        <v>-1159220823</v>
      </c>
      <c r="AR14" s="21" t="n">
        <v>-1182405240</v>
      </c>
      <c r="AS14" s="21" t="n">
        <v>-1206053345</v>
      </c>
      <c r="AT14" s="21" t="n">
        <v>-1230174412</v>
      </c>
      <c r="AU14" s="21" t="n">
        <v>-1254777900</v>
      </c>
      <c r="AV14" s="21" t="n">
        <v>-1279873458</v>
      </c>
      <c r="AW14" s="21" t="n">
        <v>-1305470927</v>
      </c>
      <c r="AX14" s="21" t="n">
        <v>-1331580345</v>
      </c>
      <c r="AY14" s="21" t="n">
        <v>-1358211952</v>
      </c>
      <c r="AZ14" s="21" t="n">
        <v>-1385376191</v>
      </c>
      <c r="BA14" s="21" t="n">
        <v>-1413083715</v>
      </c>
      <c r="BB14" s="21" t="n">
        <v>-1441345390</v>
      </c>
      <c r="BC14" s="21" t="n">
        <v>-1470172297</v>
      </c>
      <c r="BD14" s="21" t="n">
        <v>-1499575743</v>
      </c>
      <c r="BE14" s="21" t="n">
        <v>-1529567258</v>
      </c>
      <c r="BF14" s="21" t="n">
        <v>-1560158603</v>
      </c>
      <c r="BG14" s="21" t="n">
        <v>-1591361775</v>
      </c>
      <c r="BH14" s="21" t="n">
        <v>-1623189011</v>
      </c>
      <c r="BI14" s="21" t="n">
        <v>-1655652791</v>
      </c>
      <c r="BJ14" s="21" t="n">
        <v>-1688765847</v>
      </c>
      <c r="BK14" s="21" t="n">
        <v>-1722541164</v>
      </c>
      <c r="BL14" s="21" t="n">
        <v>-1756991987</v>
      </c>
      <c r="BM14" s="21" t="n">
        <v>-1792131827</v>
      </c>
      <c r="BN14" s="21" t="n">
        <v>-1827974463</v>
      </c>
      <c r="BO14" s="21" t="n">
        <v>-1864533953</v>
      </c>
      <c r="BP14" s="21" t="n">
        <v>-1901824632</v>
      </c>
      <c r="BQ14" s="21" t="n">
        <v>-1939861124</v>
      </c>
      <c r="BR14" s="21" t="n">
        <v>-1978658347</v>
      </c>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-406000000</v>
      </c>
      <c r="D15" s="23" t="n">
        <v>-414120000</v>
      </c>
      <c r="E15" s="23" t="n">
        <v>-422402400</v>
      </c>
      <c r="F15" s="23" t="n">
        <v>-430850448</v>
      </c>
      <c r="G15" s="23" t="n">
        <v>-439467457</v>
      </c>
      <c r="H15" s="23" t="n">
        <v>-448256806</v>
      </c>
      <c r="I15" s="23" t="n">
        <v>-457221942</v>
      </c>
      <c r="J15" s="23" t="n">
        <v>-466366381</v>
      </c>
      <c r="K15" s="23" t="n">
        <v>-475693709</v>
      </c>
      <c r="L15" s="23" t="n">
        <v>-485207583</v>
      </c>
      <c r="M15" s="23" t="n">
        <v>-494911735</v>
      </c>
      <c r="N15" s="23" t="n">
        <v>-504809969</v>
      </c>
      <c r="O15" s="23" t="n">
        <v>-514906169</v>
      </c>
      <c r="P15" s="23" t="n">
        <v>-525204292</v>
      </c>
      <c r="Q15" s="23" t="n">
        <v>-535708378</v>
      </c>
      <c r="R15" s="23" t="n">
        <v>-546422545</v>
      </c>
      <c r="S15" s="23" t="n">
        <v>-557350996</v>
      </c>
      <c r="T15" s="23" t="n">
        <v>-568498016</v>
      </c>
      <c r="U15" s="23" t="n">
        <v>-579867977</v>
      </c>
      <c r="V15" s="23" t="n">
        <v>-591465336</v>
      </c>
      <c r="W15" s="23" t="n">
        <v>-603294643</v>
      </c>
      <c r="X15" s="23" t="n">
        <v>-615360536</v>
      </c>
      <c r="Y15" s="23" t="n">
        <v>-627667746</v>
      </c>
      <c r="Z15" s="23" t="n">
        <v>-640221101</v>
      </c>
      <c r="AA15" s="23" t="n">
        <v>-653025523</v>
      </c>
      <c r="AB15" s="23" t="n">
        <v>-666086034</v>
      </c>
      <c r="AC15" s="23" t="n">
        <v>-679407754</v>
      </c>
      <c r="AD15" s="23" t="n">
        <v>-692995910</v>
      </c>
      <c r="AE15" s="23" t="n">
        <v>-706855828</v>
      </c>
      <c r="AF15" s="23" t="n">
        <v>-720992944</v>
      </c>
      <c r="AG15" s="23" t="n">
        <v>-735412803</v>
      </c>
      <c r="AH15" s="23" t="n">
        <v>-750121059</v>
      </c>
      <c r="AI15" s="23" t="n">
        <v>-765123480</v>
      </c>
      <c r="AJ15" s="23" t="n">
        <v>-780425950</v>
      </c>
      <c r="AK15" s="23" t="n">
        <v>-796034469</v>
      </c>
      <c r="AL15" s="23" t="n">
        <v>-811955158</v>
      </c>
      <c r="AM15" s="23" t="n">
        <v>-828194262</v>
      </c>
      <c r="AN15" s="23" t="n">
        <v>-844758147</v>
      </c>
      <c r="AO15" s="23" t="n">
        <v>-861653310</v>
      </c>
      <c r="AP15" s="23" t="n">
        <v>-878886376</v>
      </c>
      <c r="AQ15" s="23" t="n">
        <v>-896464103</v>
      </c>
      <c r="AR15" s="23" t="n">
        <v>-914393385</v>
      </c>
      <c r="AS15" s="23" t="n">
        <v>-932681253</v>
      </c>
      <c r="AT15" s="23" t="n">
        <v>-951334878</v>
      </c>
      <c r="AU15" s="23" t="n">
        <v>-970361576</v>
      </c>
      <c r="AV15" s="23" t="n">
        <v>-989768807</v>
      </c>
      <c r="AW15" s="23" t="n">
        <v>-1009564183</v>
      </c>
      <c r="AX15" s="23" t="n">
        <v>-1029755467</v>
      </c>
      <c r="AY15" s="23" t="n">
        <v>-1050350577</v>
      </c>
      <c r="AZ15" s="23" t="n">
        <v>-1071357588</v>
      </c>
      <c r="BA15" s="23" t="n">
        <v>-1092784740</v>
      </c>
      <c r="BB15" s="23" t="n">
        <v>-1114640435</v>
      </c>
      <c r="BC15" s="23" t="n">
        <v>-1136933243</v>
      </c>
      <c r="BD15" s="23" t="n">
        <v>-1159671908</v>
      </c>
      <c r="BE15" s="23" t="n">
        <v>-1182865346</v>
      </c>
      <c r="BF15" s="23" t="n">
        <v>-1206522653</v>
      </c>
      <c r="BG15" s="23" t="n">
        <v>-1230653106</v>
      </c>
      <c r="BH15" s="23" t="n">
        <v>-1255266168</v>
      </c>
      <c r="BI15" s="23" t="n">
        <v>-1280371492</v>
      </c>
      <c r="BJ15" s="23" t="n">
        <v>-1305978922</v>
      </c>
      <c r="BK15" s="23" t="n">
        <v>-1332098500</v>
      </c>
      <c r="BL15" s="23" t="n">
        <v>-1358740470</v>
      </c>
      <c r="BM15" s="23" t="n">
        <v>-1385915279</v>
      </c>
      <c r="BN15" s="23" t="n">
        <v>-1413633585</v>
      </c>
      <c r="BO15" s="23" t="n">
        <v>-1441906257</v>
      </c>
      <c r="BP15" s="23" t="n">
        <v>-1470744382</v>
      </c>
      <c r="BQ15" s="23" t="n">
        <v>-1500159270</v>
      </c>
      <c r="BR15" s="23" t="n">
        <v>-1530162455</v>
      </c>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-102000000</v>
      </c>
      <c r="D17" s="23" t="n">
        <v>-104040000</v>
      </c>
      <c r="E17" s="23" t="n">
        <v>-106120800</v>
      </c>
      <c r="F17" s="23" t="n">
        <v>-108243216</v>
      </c>
      <c r="G17" s="23" t="n">
        <v>-110408080</v>
      </c>
      <c r="H17" s="23" t="n">
        <v>-112616242</v>
      </c>
      <c r="I17" s="23" t="n">
        <v>-114868567</v>
      </c>
      <c r="J17" s="23" t="n">
        <v>-117165938</v>
      </c>
      <c r="K17" s="23" t="n">
        <v>-119509257</v>
      </c>
      <c r="L17" s="23" t="n">
        <v>-121899442</v>
      </c>
      <c r="M17" s="23" t="n">
        <v>-124337431</v>
      </c>
      <c r="N17" s="23" t="n">
        <v>-126824179</v>
      </c>
      <c r="O17" s="23" t="n">
        <v>-129360663</v>
      </c>
      <c r="P17" s="23" t="n">
        <v>-131947876</v>
      </c>
      <c r="Q17" s="23" t="n">
        <v>-134586834</v>
      </c>
      <c r="R17" s="23" t="n">
        <v>-137278571</v>
      </c>
      <c r="S17" s="23" t="n">
        <v>-140024142</v>
      </c>
      <c r="T17" s="23" t="n">
        <v>-142824625</v>
      </c>
      <c r="U17" s="23" t="n">
        <v>-145681117</v>
      </c>
      <c r="V17" s="23" t="n">
        <v>-148594740</v>
      </c>
      <c r="W17" s="23" t="n">
        <v>-151566634</v>
      </c>
      <c r="X17" s="23" t="n">
        <v>-154597967</v>
      </c>
      <c r="Y17" s="23" t="n">
        <v>-157689926</v>
      </c>
      <c r="Z17" s="23" t="n">
        <v>-160843725</v>
      </c>
      <c r="AA17" s="23" t="n">
        <v>-164060599</v>
      </c>
      <c r="AB17" s="23" t="n">
        <v>-167341811</v>
      </c>
      <c r="AC17" s="23" t="n">
        <v>-170688648</v>
      </c>
      <c r="AD17" s="23" t="n">
        <v>-174102421</v>
      </c>
      <c r="AE17" s="23" t="n">
        <v>-177584469</v>
      </c>
      <c r="AF17" s="23" t="n">
        <v>-181136158</v>
      </c>
      <c r="AG17" s="23" t="n">
        <v>-184758882</v>
      </c>
      <c r="AH17" s="23" t="n">
        <v>-188454059</v>
      </c>
      <c r="AI17" s="23" t="n">
        <v>-192223140</v>
      </c>
      <c r="AJ17" s="23" t="n">
        <v>-196067603</v>
      </c>
      <c r="AK17" s="23" t="n">
        <v>-199988955</v>
      </c>
      <c r="AL17" s="23" t="n">
        <v>-203988734</v>
      </c>
      <c r="AM17" s="23" t="n">
        <v>-208068509</v>
      </c>
      <c r="AN17" s="23" t="n">
        <v>-212229879</v>
      </c>
      <c r="AO17" s="23" t="n">
        <v>-216474477</v>
      </c>
      <c r="AP17" s="23" t="n">
        <v>-220803966</v>
      </c>
      <c r="AQ17" s="23" t="n">
        <v>-225220046</v>
      </c>
      <c r="AR17" s="23" t="n">
        <v>-229724447</v>
      </c>
      <c r="AS17" s="23" t="n">
        <v>-234318936</v>
      </c>
      <c r="AT17" s="23" t="n">
        <v>-239005314</v>
      </c>
      <c r="AU17" s="23" t="n">
        <v>-243785421</v>
      </c>
      <c r="AV17" s="23" t="n">
        <v>-248661129</v>
      </c>
      <c r="AW17" s="23" t="n">
        <v>-253634352</v>
      </c>
      <c r="AX17" s="23" t="n">
        <v>-258707039</v>
      </c>
      <c r="AY17" s="23" t="n">
        <v>-263881179</v>
      </c>
      <c r="AZ17" s="23" t="n">
        <v>-269158803</v>
      </c>
      <c r="BA17" s="23" t="n">
        <v>-274541979</v>
      </c>
      <c r="BB17" s="23" t="n">
        <v>-280032819</v>
      </c>
      <c r="BC17" s="23" t="n">
        <v>-285633475</v>
      </c>
      <c r="BD17" s="23" t="n">
        <v>-291346144</v>
      </c>
      <c r="BE17" s="23" t="n">
        <v>-297173067</v>
      </c>
      <c r="BF17" s="23" t="n">
        <v>-303116529</v>
      </c>
      <c r="BG17" s="23" t="n">
        <v>-309178859</v>
      </c>
      <c r="BH17" s="23" t="n">
        <v>-315362436</v>
      </c>
      <c r="BI17" s="23" t="n">
        <v>-321669685</v>
      </c>
      <c r="BJ17" s="23" t="n">
        <v>-328103079</v>
      </c>
      <c r="BK17" s="23" t="n">
        <v>-334665140</v>
      </c>
      <c r="BL17" s="23" t="n">
        <v>-341358443</v>
      </c>
      <c r="BM17" s="23" t="n">
        <v>-348185612</v>
      </c>
      <c r="BN17" s="23" t="n">
        <v>-355149324</v>
      </c>
      <c r="BO17" s="23" t="n">
        <v>-362252311</v>
      </c>
      <c r="BP17" s="23" t="n">
        <v>-369497357</v>
      </c>
      <c r="BQ17" s="23" t="n">
        <v>-376887304</v>
      </c>
      <c r="BR17" s="23" t="n">
        <v>-384425050</v>
      </c>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560000000</v>
      </c>
      <c r="D29" s="21" t="n">
        <v>582050000</v>
      </c>
      <c r="E29" s="21" t="n">
        <v>604866500</v>
      </c>
      <c r="F29" s="21" t="n">
        <v>628474595</v>
      </c>
      <c r="G29" s="21" t="n">
        <v>652900175</v>
      </c>
      <c r="H29" s="21" t="n">
        <v>678169949</v>
      </c>
      <c r="I29" s="21" t="n">
        <v>704311472</v>
      </c>
      <c r="J29" s="21" t="n">
        <v>731353168</v>
      </c>
      <c r="K29" s="21" t="n">
        <v>759324363</v>
      </c>
      <c r="L29" s="21" t="n">
        <v>788255306</v>
      </c>
      <c r="M29" s="21" t="n">
        <v>818177201</v>
      </c>
      <c r="N29" s="21" t="n">
        <v>849122238</v>
      </c>
      <c r="O29" s="21" t="n">
        <v>881123620</v>
      </c>
      <c r="P29" s="21" t="n">
        <v>914215598</v>
      </c>
      <c r="Q29" s="21" t="n">
        <v>948433501</v>
      </c>
      <c r="R29" s="21" t="n">
        <v>983813769</v>
      </c>
      <c r="S29" s="21" t="n">
        <v>1020393991</v>
      </c>
      <c r="T29" s="21" t="n">
        <v>1058212936</v>
      </c>
      <c r="U29" s="21" t="n">
        <v>1097310591</v>
      </c>
      <c r="V29" s="21" t="n">
        <v>1137728202</v>
      </c>
      <c r="W29" s="21" t="n">
        <v>1179508307</v>
      </c>
      <c r="X29" s="21" t="n">
        <v>1222694780</v>
      </c>
      <c r="Y29" s="21" t="n">
        <v>1267332871</v>
      </c>
      <c r="Z29" s="21" t="n">
        <v>1313469251</v>
      </c>
      <c r="AA29" s="21" t="n">
        <v>1361152050</v>
      </c>
      <c r="AB29" s="21" t="n">
        <v>1410430907</v>
      </c>
      <c r="AC29" s="21" t="n">
        <v>1461357015</v>
      </c>
      <c r="AD29" s="21" t="n">
        <v>1513983171</v>
      </c>
      <c r="AE29" s="21" t="n">
        <v>1568363820</v>
      </c>
      <c r="AF29" s="21" t="n">
        <v>1624555112</v>
      </c>
      <c r="AG29" s="21" t="n">
        <v>1682614950</v>
      </c>
      <c r="AH29" s="21" t="n">
        <v>1742603046</v>
      </c>
      <c r="AI29" s="21" t="n">
        <v>1804580979</v>
      </c>
      <c r="AJ29" s="21" t="n">
        <v>1868612247</v>
      </c>
      <c r="AK29" s="21" t="n">
        <v>1934762329</v>
      </c>
      <c r="AL29" s="21" t="n">
        <v>2003098748</v>
      </c>
      <c r="AM29" s="21" t="n">
        <v>2073691130</v>
      </c>
      <c r="AN29" s="21" t="n">
        <v>2146611273</v>
      </c>
      <c r="AO29" s="21" t="n">
        <v>2221933208</v>
      </c>
      <c r="AP29" s="21" t="n">
        <v>2299733273</v>
      </c>
      <c r="AQ29" s="21" t="n">
        <v>2380090181</v>
      </c>
      <c r="AR29" s="21" t="n">
        <v>2463085095</v>
      </c>
      <c r="AS29" s="21" t="n">
        <v>2548801700</v>
      </c>
      <c r="AT29" s="21" t="n">
        <v>2637326284</v>
      </c>
      <c r="AU29" s="21" t="n">
        <v>2728747817</v>
      </c>
      <c r="AV29" s="21" t="n">
        <v>2823158030</v>
      </c>
      <c r="AW29" s="21" t="n">
        <v>2920651506</v>
      </c>
      <c r="AX29" s="21" t="n">
        <v>3021325760</v>
      </c>
      <c r="AY29" s="21" t="n">
        <v>3125281337</v>
      </c>
      <c r="AZ29" s="21" t="n">
        <v>3232621896</v>
      </c>
      <c r="BA29" s="21" t="n">
        <v>3343454315</v>
      </c>
      <c r="BB29" s="21" t="n">
        <v>3457888782</v>
      </c>
      <c r="BC29" s="21" t="n">
        <v>3576038899</v>
      </c>
      <c r="BD29" s="21" t="n">
        <v>3698021789</v>
      </c>
      <c r="BE29" s="21" t="n">
        <v>3823958200</v>
      </c>
      <c r="BF29" s="21" t="n">
        <v>3953972619</v>
      </c>
      <c r="BG29" s="21" t="n">
        <v>4088193383</v>
      </c>
      <c r="BH29" s="21" t="n">
        <v>4226752802</v>
      </c>
      <c r="BI29" s="21" t="n">
        <v>4369787277</v>
      </c>
      <c r="BJ29" s="21" t="n">
        <v>4517437423</v>
      </c>
      <c r="BK29" s="21" t="n">
        <v>4669848204</v>
      </c>
      <c r="BL29" s="21" t="n">
        <v>4827169062</v>
      </c>
      <c r="BM29" s="21" t="n">
        <v>4989554053</v>
      </c>
      <c r="BN29" s="21" t="n">
        <v>5157161993</v>
      </c>
      <c r="BO29" s="21" t="n">
        <v>5330156598</v>
      </c>
      <c r="BP29" s="21" t="n">
        <v>5508706635</v>
      </c>
      <c r="BQ29" s="21" t="n">
        <v>5692986081</v>
      </c>
      <c r="BR29" s="21" t="n">
        <v>5883174274</v>
      </c>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560000000</v>
      </c>
      <c r="D63" s="21" t="n">
        <v>582050000</v>
      </c>
      <c r="E63" s="21" t="n">
        <v>604866500</v>
      </c>
      <c r="F63" s="21" t="n">
        <v>628474595</v>
      </c>
      <c r="G63" s="21" t="n">
        <v>652900175</v>
      </c>
      <c r="H63" s="21" t="n">
        <v>678169949</v>
      </c>
      <c r="I63" s="21" t="n">
        <v>704311472</v>
      </c>
      <c r="J63" s="21" t="n">
        <v>731353168</v>
      </c>
      <c r="K63" s="21" t="n">
        <v>759324363</v>
      </c>
      <c r="L63" s="21" t="n">
        <v>788255306</v>
      </c>
      <c r="M63" s="21" t="n">
        <v>818177201</v>
      </c>
      <c r="N63" s="21" t="n">
        <v>849122238</v>
      </c>
      <c r="O63" s="21" t="n">
        <v>881123620</v>
      </c>
      <c r="P63" s="21" t="n">
        <v>914215598</v>
      </c>
      <c r="Q63" s="21" t="n">
        <v>948433501</v>
      </c>
      <c r="R63" s="21" t="n">
        <v>983813769</v>
      </c>
      <c r="S63" s="21" t="n">
        <v>1020393991</v>
      </c>
      <c r="T63" s="21" t="n">
        <v>1058212936</v>
      </c>
      <c r="U63" s="21" t="n">
        <v>1097310591</v>
      </c>
      <c r="V63" s="21" t="n">
        <v>1137728202</v>
      </c>
      <c r="W63" s="21" t="n">
        <v>1179508307</v>
      </c>
      <c r="X63" s="21" t="n">
        <v>1222694780</v>
      </c>
      <c r="Y63" s="21" t="n">
        <v>1267332871</v>
      </c>
      <c r="Z63" s="21" t="n">
        <v>1313469251</v>
      </c>
      <c r="AA63" s="21" t="n">
        <v>1361152050</v>
      </c>
      <c r="AB63" s="21" t="n">
        <v>1410430907</v>
      </c>
      <c r="AC63" s="21" t="n">
        <v>1461357015</v>
      </c>
      <c r="AD63" s="21" t="n">
        <v>1513983171</v>
      </c>
      <c r="AE63" s="21" t="n">
        <v>1568363820</v>
      </c>
      <c r="AF63" s="21" t="n">
        <v>1624555112</v>
      </c>
      <c r="AG63" s="21" t="n">
        <v>1682614950</v>
      </c>
      <c r="AH63" s="21" t="n">
        <v>1742603046</v>
      </c>
      <c r="AI63" s="21" t="n">
        <v>1804580979</v>
      </c>
      <c r="AJ63" s="21" t="n">
        <v>1868612247</v>
      </c>
      <c r="AK63" s="21" t="n">
        <v>1934762329</v>
      </c>
      <c r="AL63" s="21" t="n">
        <v>2003098748</v>
      </c>
      <c r="AM63" s="21" t="n">
        <v>2073691130</v>
      </c>
      <c r="AN63" s="21" t="n">
        <v>2146611273</v>
      </c>
      <c r="AO63" s="21" t="n">
        <v>2221933208</v>
      </c>
      <c r="AP63" s="21" t="n">
        <v>2299733273</v>
      </c>
      <c r="AQ63" s="21" t="n">
        <v>2380090181</v>
      </c>
      <c r="AR63" s="21" t="n">
        <v>2463085095</v>
      </c>
      <c r="AS63" s="21" t="n">
        <v>2548801700</v>
      </c>
      <c r="AT63" s="21" t="n">
        <v>2637326284</v>
      </c>
      <c r="AU63" s="21" t="n">
        <v>2728747817</v>
      </c>
      <c r="AV63" s="21" t="n">
        <v>2823158030</v>
      </c>
      <c r="AW63" s="21" t="n">
        <v>2920651506</v>
      </c>
      <c r="AX63" s="21" t="n">
        <v>3021325760</v>
      </c>
      <c r="AY63" s="21" t="n">
        <v>3125281337</v>
      </c>
      <c r="AZ63" s="21" t="n">
        <v>3232621896</v>
      </c>
      <c r="BA63" s="21" t="n">
        <v>3343454315</v>
      </c>
      <c r="BB63" s="21" t="n">
        <v>3457888782</v>
      </c>
      <c r="BC63" s="21" t="n">
        <v>3576038899</v>
      </c>
      <c r="BD63" s="21" t="n">
        <v>3698021789</v>
      </c>
      <c r="BE63" s="21" t="n">
        <v>3823958200</v>
      </c>
      <c r="BF63" s="21" t="n">
        <v>3953972619</v>
      </c>
      <c r="BG63" s="21" t="n">
        <v>4088193383</v>
      </c>
      <c r="BH63" s="21" t="n">
        <v>4226752802</v>
      </c>
      <c r="BI63" s="21" t="n">
        <v>4369787277</v>
      </c>
      <c r="BJ63" s="21" t="n">
        <v>4517437423</v>
      </c>
      <c r="BK63" s="21" t="n">
        <v>4669848204</v>
      </c>
      <c r="BL63" s="21" t="n">
        <v>4827169062</v>
      </c>
      <c r="BM63" s="21" t="n">
        <v>4989554053</v>
      </c>
      <c r="BN63" s="21" t="n">
        <v>5157161993</v>
      </c>
      <c r="BO63" s="21" t="n">
        <v>5330156598</v>
      </c>
      <c r="BP63" s="21" t="n">
        <v>5508706635</v>
      </c>
      <c r="BQ63" s="21" t="n">
        <v>5692986081</v>
      </c>
      <c r="BR63" s="21" t="n">
        <v>5883174274</v>
      </c>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-257000000</v>
      </c>
      <c r="D65" s="23" t="n">
        <v>-248709677</v>
      </c>
      <c r="E65" s="23" t="n">
        <v>-240419355</v>
      </c>
      <c r="F65" s="23" t="n">
        <v>-232129032</v>
      </c>
      <c r="G65" s="23" t="n">
        <v>-223838710</v>
      </c>
      <c r="H65" s="23" t="n">
        <v>-215548387</v>
      </c>
      <c r="I65" s="23" t="n">
        <v>-207258065</v>
      </c>
      <c r="J65" s="23" t="n">
        <v>-198967742</v>
      </c>
      <c r="K65" s="23" t="n">
        <v>-190677419</v>
      </c>
      <c r="L65" s="23" t="n">
        <v>-182387097</v>
      </c>
      <c r="M65" s="23" t="n">
        <v>-174096774</v>
      </c>
      <c r="N65" s="23" t="n">
        <v>-165806452</v>
      </c>
      <c r="O65" s="23" t="n">
        <v>-157516129</v>
      </c>
      <c r="P65" s="23" t="n">
        <v>-149225806</v>
      </c>
      <c r="Q65" s="23" t="n">
        <v>-140935484</v>
      </c>
      <c r="R65" s="23" t="n">
        <v>-132645161</v>
      </c>
      <c r="S65" s="23" t="n">
        <v>-124354839</v>
      </c>
      <c r="T65" s="23" t="n">
        <v>-116064516</v>
      </c>
      <c r="U65" s="23" t="n">
        <v>-107774194</v>
      </c>
      <c r="V65" s="23" t="n">
        <v>-99483871</v>
      </c>
      <c r="W65" s="23" t="n">
        <v>-91193548</v>
      </c>
      <c r="X65" s="23" t="n">
        <v>-82903226</v>
      </c>
      <c r="Y65" s="23" t="n">
        <v>-74612903</v>
      </c>
      <c r="Z65" s="23" t="n">
        <v>-66322581</v>
      </c>
      <c r="AA65" s="23" t="n">
        <v>-58032258</v>
      </c>
      <c r="AB65" s="23" t="n">
        <v>-49741935</v>
      </c>
      <c r="AC65" s="23" t="n">
        <v>-41451613</v>
      </c>
      <c r="AD65" s="23" t="n">
        <v>-33161290</v>
      </c>
      <c r="AE65" s="23" t="n">
        <v>-24870968</v>
      </c>
      <c r="AF65" s="23" t="n">
        <v>-16580645</v>
      </c>
      <c r="AG65" s="23" t="n">
        <v>-8290323</v>
      </c>
      <c r="AH65" s="23" t="n">
        <v>0</v>
      </c>
      <c r="AI65" s="23" t="n">
        <v>0</v>
      </c>
      <c r="AJ65" s="23" t="n">
        <v>0</v>
      </c>
      <c r="AK65" s="23" t="n">
        <v>0</v>
      </c>
      <c r="AL65" s="23" t="n">
        <v>0</v>
      </c>
      <c r="AM65" s="23" t="n">
        <v>0</v>
      </c>
      <c r="AN65" s="23" t="n">
        <v>0</v>
      </c>
      <c r="AO65" s="23" t="n">
        <v>0</v>
      </c>
      <c r="AP65" s="23" t="n">
        <v>0</v>
      </c>
      <c r="AQ65" s="23" t="n">
        <v>0</v>
      </c>
      <c r="AR65" s="23" t="n">
        <v>0</v>
      </c>
      <c r="AS65" s="23" t="n">
        <v>0</v>
      </c>
      <c r="AT65" s="23" t="n">
        <v>0</v>
      </c>
      <c r="AU65" s="23" t="n">
        <v>0</v>
      </c>
      <c r="AV65" s="23" t="n">
        <v>0</v>
      </c>
      <c r="AW65" s="23" t="n">
        <v>0</v>
      </c>
      <c r="AX65" s="23" t="n">
        <v>0</v>
      </c>
      <c r="AY65" s="23" t="n">
        <v>0</v>
      </c>
      <c r="AZ65" s="23" t="n">
        <v>0</v>
      </c>
      <c r="BA65" s="23" t="n">
        <v>0</v>
      </c>
      <c r="BB65" s="23" t="n">
        <v>0</v>
      </c>
      <c r="BC65" s="23" t="n">
        <v>0</v>
      </c>
      <c r="BD65" s="23" t="n">
        <v>0</v>
      </c>
      <c r="BE65" s="23" t="n">
        <v>0</v>
      </c>
      <c r="BF65" s="23" t="n">
        <v>0</v>
      </c>
      <c r="BG65" s="23" t="n">
        <v>0</v>
      </c>
      <c r="BH65" s="23" t="n">
        <v>0</v>
      </c>
      <c r="BI65" s="23" t="n">
        <v>0</v>
      </c>
      <c r="BJ65" s="23" t="n">
        <v>0</v>
      </c>
      <c r="BK65" s="23" t="n">
        <v>0</v>
      </c>
      <c r="BL65" s="23" t="n">
        <v>0</v>
      </c>
      <c r="BM65" s="23" t="n">
        <v>0</v>
      </c>
      <c r="BN65" s="23" t="n">
        <v>0</v>
      </c>
      <c r="BO65" s="23" t="n">
        <v>0</v>
      </c>
      <c r="BP65" s="23" t="n">
        <v>0</v>
      </c>
      <c r="BQ65" s="23" t="n">
        <v>0</v>
      </c>
      <c r="BR65" s="23" t="n">
        <v>0</v>
      </c>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257000000</v>
      </c>
      <c r="D67" s="21" t="n">
        <v>248709677</v>
      </c>
      <c r="E67" s="21" t="n">
        <v>240419355</v>
      </c>
      <c r="F67" s="21" t="n">
        <v>232129032</v>
      </c>
      <c r="G67" s="21" t="n">
        <v>223838710</v>
      </c>
      <c r="H67" s="21" t="n">
        <v>215548387</v>
      </c>
      <c r="I67" s="21" t="n">
        <v>207258065</v>
      </c>
      <c r="J67" s="21" t="n">
        <v>198967742</v>
      </c>
      <c r="K67" s="21" t="n">
        <v>190677419</v>
      </c>
      <c r="L67" s="21" t="n">
        <v>182387097</v>
      </c>
      <c r="M67" s="21" t="n">
        <v>174096774</v>
      </c>
      <c r="N67" s="21" t="n">
        <v>165806452</v>
      </c>
      <c r="O67" s="21" t="n">
        <v>157516129</v>
      </c>
      <c r="P67" s="21" t="n">
        <v>149225806</v>
      </c>
      <c r="Q67" s="21" t="n">
        <v>140935484</v>
      </c>
      <c r="R67" s="21" t="n">
        <v>132645161</v>
      </c>
      <c r="S67" s="21" t="n">
        <v>124354839</v>
      </c>
      <c r="T67" s="21" t="n">
        <v>116064516</v>
      </c>
      <c r="U67" s="21" t="n">
        <v>107774194</v>
      </c>
      <c r="V67" s="21" t="n">
        <v>99483871</v>
      </c>
      <c r="W67" s="21" t="n">
        <v>91193548</v>
      </c>
      <c r="X67" s="21" t="n">
        <v>82903226</v>
      </c>
      <c r="Y67" s="21" t="n">
        <v>74612903</v>
      </c>
      <c r="Z67" s="21" t="n">
        <v>66322581</v>
      </c>
      <c r="AA67" s="21" t="n">
        <v>58032258</v>
      </c>
      <c r="AB67" s="21" t="n">
        <v>49741935</v>
      </c>
      <c r="AC67" s="21" t="n">
        <v>41451613</v>
      </c>
      <c r="AD67" s="21" t="n">
        <v>33161290</v>
      </c>
      <c r="AE67" s="21" t="n">
        <v>24870968</v>
      </c>
      <c r="AF67" s="21" t="n">
        <v>16580645</v>
      </c>
      <c r="AG67" s="21" t="n">
        <v>8290323</v>
      </c>
      <c r="AH67" s="21" t="n">
        <v>0</v>
      </c>
      <c r="AI67" s="21" t="n">
        <v>0</v>
      </c>
      <c r="AJ67" s="21" t="n">
        <v>0</v>
      </c>
      <c r="AK67" s="21" t="n">
        <v>0</v>
      </c>
      <c r="AL67" s="21" t="n">
        <v>0</v>
      </c>
      <c r="AM67" s="21" t="n">
        <v>0</v>
      </c>
      <c r="AN67" s="21" t="n">
        <v>0</v>
      </c>
      <c r="AO67" s="21" t="n">
        <v>0</v>
      </c>
      <c r="AP67" s="21" t="n">
        <v>0</v>
      </c>
      <c r="AQ67" s="21" t="n">
        <v>0</v>
      </c>
      <c r="AR67" s="21" t="n">
        <v>0</v>
      </c>
      <c r="AS67" s="21" t="n">
        <v>0</v>
      </c>
      <c r="AT67" s="21" t="n">
        <v>0</v>
      </c>
      <c r="AU67" s="21" t="n">
        <v>0</v>
      </c>
      <c r="AV67" s="21" t="n">
        <v>0</v>
      </c>
      <c r="AW67" s="21" t="n">
        <v>0</v>
      </c>
      <c r="AX67" s="21" t="n">
        <v>0</v>
      </c>
      <c r="AY67" s="21" t="n">
        <v>0</v>
      </c>
      <c r="AZ67" s="21" t="n">
        <v>0</v>
      </c>
      <c r="BA67" s="21" t="n">
        <v>0</v>
      </c>
      <c r="BB67" s="21" t="n">
        <v>0</v>
      </c>
      <c r="BC67" s="21" t="n">
        <v>0</v>
      </c>
      <c r="BD67" s="21" t="n">
        <v>0</v>
      </c>
      <c r="BE67" s="21" t="n">
        <v>0</v>
      </c>
      <c r="BF67" s="21" t="n">
        <v>0</v>
      </c>
      <c r="BG67" s="21" t="n">
        <v>0</v>
      </c>
      <c r="BH67" s="21" t="n">
        <v>0</v>
      </c>
      <c r="BI67" s="21" t="n">
        <v>0</v>
      </c>
      <c r="BJ67" s="21" t="n">
        <v>0</v>
      </c>
      <c r="BK67" s="21" t="n">
        <v>0</v>
      </c>
      <c r="BL67" s="21" t="n">
        <v>0</v>
      </c>
      <c r="BM67" s="21" t="n">
        <v>0</v>
      </c>
      <c r="BN67" s="21" t="n">
        <v>0</v>
      </c>
      <c r="BO67" s="21" t="n">
        <v>0</v>
      </c>
      <c r="BP67" s="21" t="n">
        <v>0</v>
      </c>
      <c r="BQ67" s="21" t="n">
        <v>0</v>
      </c>
      <c r="BR67" s="21" t="n">
        <v>0</v>
      </c>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2.18</v>
      </c>
      <c r="D91" s="21" t="n">
        <v>2.34</v>
      </c>
      <c r="E91" s="21" t="n">
        <v>2.52</v>
      </c>
      <c r="F91" s="21" t="n">
        <v>2.71</v>
      </c>
      <c r="G91" s="21" t="n">
        <v>2.92</v>
      </c>
      <c r="H91" s="21" t="n">
        <v>3.15</v>
      </c>
      <c r="I91" s="21" t="n">
        <v>3.4</v>
      </c>
      <c r="J91" s="21" t="n">
        <v>3.68</v>
      </c>
      <c r="K91" s="21" t="n">
        <v>3.98</v>
      </c>
      <c r="L91" s="21" t="n">
        <v>4.32</v>
      </c>
      <c r="M91" s="21" t="n">
        <v>4.7</v>
      </c>
      <c r="N91" s="21" t="n">
        <v>5.12</v>
      </c>
      <c r="O91" s="21" t="n">
        <v>5.59</v>
      </c>
      <c r="P91" s="21" t="n">
        <v>6.13</v>
      </c>
      <c r="Q91" s="21" t="n">
        <v>6.73</v>
      </c>
      <c r="R91" s="21" t="n">
        <v>7.42</v>
      </c>
      <c r="S91" s="21" t="n">
        <v>8.210000000000001</v>
      </c>
      <c r="T91" s="21" t="n">
        <v>9.119999999999999</v>
      </c>
      <c r="U91" s="21" t="n">
        <v>10.18</v>
      </c>
      <c r="V91" s="21" t="n">
        <v>11.44</v>
      </c>
      <c r="W91" s="21" t="n">
        <v>12.93</v>
      </c>
      <c r="X91" s="21" t="n">
        <v>14.75</v>
      </c>
      <c r="Y91" s="21" t="n">
        <v>16.99</v>
      </c>
      <c r="Z91" s="21" t="n">
        <v>19.8</v>
      </c>
      <c r="AA91" s="21" t="n">
        <v>23.46</v>
      </c>
      <c r="AB91" s="21" t="n">
        <v>28.35</v>
      </c>
      <c r="AC91" s="21" t="n">
        <v>35.25</v>
      </c>
      <c r="AD91" s="21" t="n">
        <v>45.66</v>
      </c>
      <c r="AE91" s="21" t="n">
        <v>63.06</v>
      </c>
      <c r="AF91" s="21" t="n">
        <v>97.98</v>
      </c>
      <c r="AG91" s="21" t="n">
        <v>202.96</v>
      </c>
      <c r="AH91" s="21" t="n">
        <v>99.98999999999999</v>
      </c>
      <c r="AI91" s="21" t="n">
        <v>99.98999999999999</v>
      </c>
      <c r="AJ91" s="21" t="n">
        <v>99.98999999999999</v>
      </c>
      <c r="AK91" s="21" t="n">
        <v>99.98999999999999</v>
      </c>
      <c r="AL91" s="21" t="n">
        <v>99.98999999999999</v>
      </c>
      <c r="AM91" s="21" t="n">
        <v>99.98999999999999</v>
      </c>
      <c r="AN91" s="21" t="n">
        <v>99.98999999999999</v>
      </c>
      <c r="AO91" s="21" t="n">
        <v>99.98999999999999</v>
      </c>
      <c r="AP91" s="21" t="n">
        <v>99.98999999999999</v>
      </c>
      <c r="AQ91" s="21" t="n">
        <v>99.98999999999999</v>
      </c>
      <c r="AR91" s="21" t="n">
        <v>99.98999999999999</v>
      </c>
      <c r="AS91" s="21" t="n">
        <v>99.98999999999999</v>
      </c>
      <c r="AT91" s="21" t="n">
        <v>99.98999999999999</v>
      </c>
      <c r="AU91" s="21" t="n">
        <v>99.98999999999999</v>
      </c>
      <c r="AV91" s="21" t="n">
        <v>99.98999999999999</v>
      </c>
      <c r="AW91" s="21" t="n">
        <v>99.98999999999999</v>
      </c>
      <c r="AX91" s="21" t="n">
        <v>99.98999999999999</v>
      </c>
      <c r="AY91" s="21" t="n">
        <v>99.98999999999999</v>
      </c>
      <c r="AZ91" s="21" t="n">
        <v>99.98999999999999</v>
      </c>
      <c r="BA91" s="21" t="n">
        <v>99.98999999999999</v>
      </c>
      <c r="BB91" s="21" t="n">
        <v>99.98999999999999</v>
      </c>
      <c r="BC91" s="21" t="n">
        <v>99.98999999999999</v>
      </c>
      <c r="BD91" s="21" t="n">
        <v>99.98999999999999</v>
      </c>
      <c r="BE91" s="21" t="n">
        <v>99.98999999999999</v>
      </c>
      <c r="BF91" s="21" t="n">
        <v>99.98999999999999</v>
      </c>
      <c r="BG91" s="21" t="n">
        <v>99.98999999999999</v>
      </c>
      <c r="BH91" s="21" t="n">
        <v>99.98999999999999</v>
      </c>
      <c r="BI91" s="21" t="n">
        <v>99.98999999999999</v>
      </c>
      <c r="BJ91" s="21" t="n">
        <v>99.98999999999999</v>
      </c>
      <c r="BK91" s="21" t="n">
        <v>99.98999999999999</v>
      </c>
      <c r="BL91" s="21" t="n">
        <v>99.98999999999999</v>
      </c>
      <c r="BM91" s="21" t="n">
        <v>99.98999999999999</v>
      </c>
      <c r="BN91" s="21" t="n">
        <v>99.98999999999999</v>
      </c>
      <c r="BO91" s="21" t="n">
        <v>99.98999999999999</v>
      </c>
      <c r="BP91" s="21" t="n">
        <v>99.98999999999999</v>
      </c>
      <c r="BQ91" s="21" t="n">
        <v>99.98999999999999</v>
      </c>
      <c r="BR91" s="21" t="n">
        <v>99.98999999999999</v>
      </c>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6.96</v>
      </c>
      <c r="D93" s="21" t="n">
        <v>6.48</v>
      </c>
      <c r="E93" s="21" t="n">
        <v>6.03</v>
      </c>
      <c r="F93" s="21" t="n">
        <v>5.6</v>
      </c>
      <c r="G93" s="21" t="n">
        <v>5.2</v>
      </c>
      <c r="H93" s="21" t="n">
        <v>4.82</v>
      </c>
      <c r="I93" s="21" t="n">
        <v>4.47</v>
      </c>
      <c r="J93" s="21" t="n">
        <v>4.13</v>
      </c>
      <c r="K93" s="21" t="n">
        <v>3.81</v>
      </c>
      <c r="L93" s="21" t="n">
        <v>3.51</v>
      </c>
      <c r="M93" s="21" t="n">
        <v>3.23</v>
      </c>
      <c r="N93" s="21" t="n">
        <v>2.96</v>
      </c>
      <c r="O93" s="21" t="n">
        <v>2.71</v>
      </c>
      <c r="P93" s="21" t="n">
        <v>2.48</v>
      </c>
      <c r="Q93" s="21" t="n">
        <v>2.25</v>
      </c>
      <c r="R93" s="21" t="n">
        <v>2.05</v>
      </c>
      <c r="S93" s="21" t="n">
        <v>1.85</v>
      </c>
      <c r="T93" s="21" t="n">
        <v>1.66</v>
      </c>
      <c r="U93" s="21" t="n">
        <v>1.49</v>
      </c>
      <c r="V93" s="21" t="n">
        <v>1.33</v>
      </c>
      <c r="W93" s="21" t="n">
        <v>1.17</v>
      </c>
      <c r="X93" s="21" t="n">
        <v>1.03</v>
      </c>
      <c r="Y93" s="21" t="n">
        <v>0.89</v>
      </c>
      <c r="Z93" s="21" t="n">
        <v>0.77</v>
      </c>
      <c r="AA93" s="21" t="n">
        <v>0.65</v>
      </c>
      <c r="AB93" s="21" t="n">
        <v>0.54</v>
      </c>
      <c r="AC93" s="21" t="n">
        <v>0.43</v>
      </c>
      <c r="AD93" s="21" t="n">
        <v>0.33</v>
      </c>
      <c r="AE93" s="21" t="n">
        <v>0.24</v>
      </c>
      <c r="AF93" s="21" t="n">
        <v>0.15</v>
      </c>
      <c r="AG93" s="21" t="n">
        <v>0.07000000000000001</v>
      </c>
      <c r="AH93" s="21" t="n">
        <v>0</v>
      </c>
      <c r="AI93" s="21" t="n">
        <v>0</v>
      </c>
      <c r="AJ93" s="21" t="n">
        <v>0</v>
      </c>
      <c r="AK93" s="21" t="n">
        <v>0</v>
      </c>
      <c r="AL93" s="21" t="n">
        <v>0</v>
      </c>
      <c r="AM93" s="21" t="n">
        <v>0</v>
      </c>
      <c r="AN93" s="21" t="n">
        <v>0</v>
      </c>
      <c r="AO93" s="21" t="n">
        <v>0</v>
      </c>
      <c r="AP93" s="21" t="n">
        <v>0</v>
      </c>
      <c r="AQ93" s="21" t="n">
        <v>0</v>
      </c>
      <c r="AR93" s="21" t="n">
        <v>0</v>
      </c>
      <c r="AS93" s="21" t="n">
        <v>0</v>
      </c>
      <c r="AT93" s="21" t="n">
        <v>0</v>
      </c>
      <c r="AU93" s="21" t="n">
        <v>0</v>
      </c>
      <c r="AV93" s="21" t="n">
        <v>0</v>
      </c>
      <c r="AW93" s="21" t="n">
        <v>0</v>
      </c>
      <c r="AX93" s="21" t="n">
        <v>0</v>
      </c>
      <c r="AY93" s="21" t="n">
        <v>0</v>
      </c>
      <c r="AZ93" s="21" t="n">
        <v>0</v>
      </c>
      <c r="BA93" s="21" t="n">
        <v>0</v>
      </c>
      <c r="BB93" s="21" t="n">
        <v>0</v>
      </c>
      <c r="BC93" s="21" t="n">
        <v>0</v>
      </c>
      <c r="BD93" s="21" t="n">
        <v>0</v>
      </c>
      <c r="BE93" s="21" t="n">
        <v>0</v>
      </c>
      <c r="BF93" s="21" t="n">
        <v>0</v>
      </c>
      <c r="BG93" s="21" t="n">
        <v>0</v>
      </c>
      <c r="BH93" s="21" t="n">
        <v>0</v>
      </c>
      <c r="BI93" s="21" t="n">
        <v>0</v>
      </c>
      <c r="BJ93" s="21" t="n">
        <v>0</v>
      </c>
      <c r="BK93" s="21" t="n">
        <v>0</v>
      </c>
      <c r="BL93" s="21" t="n">
        <v>0</v>
      </c>
      <c r="BM93" s="21" t="n">
        <v>0</v>
      </c>
      <c r="BN93" s="21" t="n">
        <v>0</v>
      </c>
      <c r="BO93" s="21" t="n">
        <v>0</v>
      </c>
      <c r="BP93" s="21" t="n">
        <v>0</v>
      </c>
      <c r="BQ93" s="21" t="n">
        <v>0</v>
      </c>
      <c r="BR93" s="21" t="n">
        <v>0</v>
      </c>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68</v>
      </c>
      <c r="D99" s="23" t="n">
        <v>67</v>
      </c>
      <c r="E99" s="23" t="n">
        <v>66</v>
      </c>
      <c r="F99" s="23" t="n">
        <v>65</v>
      </c>
      <c r="G99" s="23" t="n">
        <v>64</v>
      </c>
      <c r="H99" s="23" t="n">
        <v>63</v>
      </c>
      <c r="I99" s="23" t="n">
        <v>62</v>
      </c>
      <c r="J99" s="23" t="n">
        <v>61</v>
      </c>
      <c r="K99" s="23" t="n">
        <v>60</v>
      </c>
      <c r="L99" s="23" t="n">
        <v>59</v>
      </c>
      <c r="M99" s="23" t="n">
        <v>58</v>
      </c>
      <c r="N99" s="23" t="n">
        <v>57</v>
      </c>
      <c r="O99" s="23" t="n">
        <v>56</v>
      </c>
      <c r="P99" s="23" t="n">
        <v>55</v>
      </c>
      <c r="Q99" s="23" t="n">
        <v>54</v>
      </c>
      <c r="R99" s="23" t="n">
        <v>53</v>
      </c>
      <c r="S99" s="23" t="n">
        <v>52</v>
      </c>
      <c r="T99" s="23" t="n">
        <v>51</v>
      </c>
      <c r="U99" s="23" t="n">
        <v>50</v>
      </c>
      <c r="V99" s="23" t="n">
        <v>49</v>
      </c>
      <c r="W99" s="23" t="n">
        <v>48</v>
      </c>
      <c r="X99" s="23" t="n">
        <v>47</v>
      </c>
      <c r="Y99" s="23" t="n">
        <v>46</v>
      </c>
      <c r="Z99" s="23" t="n">
        <v>45</v>
      </c>
      <c r="AA99" s="23" t="n">
        <v>44</v>
      </c>
      <c r="AB99" s="23" t="n">
        <v>43</v>
      </c>
      <c r="AC99" s="23" t="n">
        <v>42</v>
      </c>
      <c r="AD99" s="23" t="n">
        <v>41</v>
      </c>
      <c r="AE99" s="23" t="n">
        <v>40</v>
      </c>
      <c r="AF99" s="23" t="n">
        <v>39</v>
      </c>
      <c r="AG99" s="23" t="n">
        <v>38</v>
      </c>
      <c r="AH99" s="23" t="n">
        <v>37</v>
      </c>
      <c r="AI99" s="23" t="n">
        <v>36</v>
      </c>
      <c r="AJ99" s="23" t="n">
        <v>35</v>
      </c>
      <c r="AK99" s="23" t="n">
        <v>34</v>
      </c>
      <c r="AL99" s="23" t="n">
        <v>33</v>
      </c>
      <c r="AM99" s="23" t="n">
        <v>32</v>
      </c>
      <c r="AN99" s="23" t="n">
        <v>31</v>
      </c>
      <c r="AO99" s="23" t="n">
        <v>30</v>
      </c>
      <c r="AP99" s="23" t="n">
        <v>29</v>
      </c>
      <c r="AQ99" s="23" t="n">
        <v>28</v>
      </c>
      <c r="AR99" s="23" t="n">
        <v>27</v>
      </c>
      <c r="AS99" s="23" t="n">
        <v>26</v>
      </c>
      <c r="AT99" s="23" t="n">
        <v>25</v>
      </c>
      <c r="AU99" s="23" t="n">
        <v>24</v>
      </c>
      <c r="AV99" s="23" t="n">
        <v>23</v>
      </c>
      <c r="AW99" s="23" t="n">
        <v>22</v>
      </c>
      <c r="AX99" s="23" t="n">
        <v>21</v>
      </c>
      <c r="AY99" s="23" t="n">
        <v>20</v>
      </c>
      <c r="AZ99" s="23" t="n">
        <v>19</v>
      </c>
      <c r="BA99" s="23" t="n">
        <v>18</v>
      </c>
      <c r="BB99" s="23" t="n">
        <v>17</v>
      </c>
      <c r="BC99" s="23" t="n">
        <v>16</v>
      </c>
      <c r="BD99" s="23" t="n">
        <v>15</v>
      </c>
      <c r="BE99" s="23" t="n">
        <v>14</v>
      </c>
      <c r="BF99" s="23" t="n">
        <v>13</v>
      </c>
      <c r="BG99" s="23" t="n">
        <v>12</v>
      </c>
      <c r="BH99" s="23" t="n">
        <v>11</v>
      </c>
      <c r="BI99" s="23" t="n">
        <v>10</v>
      </c>
      <c r="BJ99" s="23" t="n">
        <v>9</v>
      </c>
      <c r="BK99" s="23" t="n">
        <v>8</v>
      </c>
      <c r="BL99" s="23" t="n">
        <v>7</v>
      </c>
      <c r="BM99" s="23" t="n">
        <v>6</v>
      </c>
      <c r="BN99" s="23" t="n">
        <v>5</v>
      </c>
      <c r="BO99" s="23" t="n">
        <v>4</v>
      </c>
      <c r="BP99" s="23" t="n">
        <v>3</v>
      </c>
      <c r="BQ99" s="23" t="n">
        <v>2</v>
      </c>
      <c r="BR99" s="23" t="n">
        <v>1</v>
      </c>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COMBINED DOWNSIDE FORECAST — Worst-case scenario across all risk factors.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1085000000</v>
      </c>
      <c r="D4" s="21" t="n">
        <v>1117550000</v>
      </c>
      <c r="E4" s="21" t="n">
        <v>1151076500</v>
      </c>
      <c r="F4" s="21" t="n">
        <v>1185608795</v>
      </c>
      <c r="G4" s="21" t="n">
        <v>1221177059</v>
      </c>
      <c r="H4" s="21" t="n">
        <v>1257812371</v>
      </c>
      <c r="I4" s="21" t="n">
        <v>1295546742</v>
      </c>
      <c r="J4" s="21" t="n">
        <v>1334413144</v>
      </c>
      <c r="K4" s="21" t="n">
        <v>1374445538</v>
      </c>
      <c r="L4" s="21" t="n">
        <v>1415678904</v>
      </c>
      <c r="M4" s="21" t="n">
        <v>1458149272</v>
      </c>
      <c r="N4" s="21" t="n">
        <v>1501893750</v>
      </c>
      <c r="O4" s="21" t="n">
        <v>1546950562</v>
      </c>
      <c r="P4" s="21" t="n">
        <v>1593359079</v>
      </c>
      <c r="Q4" s="21" t="n">
        <v>1641159851</v>
      </c>
      <c r="R4" s="21" t="n">
        <v>1690394647</v>
      </c>
      <c r="S4" s="21" t="n">
        <v>1741106486</v>
      </c>
      <c r="T4" s="21" t="n">
        <v>1793339681</v>
      </c>
      <c r="U4" s="21" t="n">
        <v>1847139871</v>
      </c>
      <c r="V4" s="21" t="n">
        <v>1902554068</v>
      </c>
      <c r="W4" s="21" t="n">
        <v>1959630690</v>
      </c>
      <c r="X4" s="21" t="n">
        <v>2018419610</v>
      </c>
      <c r="Y4" s="21" t="n">
        <v>2078972199</v>
      </c>
      <c r="Z4" s="21" t="n">
        <v>2141341365</v>
      </c>
      <c r="AA4" s="21" t="n">
        <v>2205581606</v>
      </c>
      <c r="AB4" s="21" t="n">
        <v>2271749054</v>
      </c>
      <c r="AC4" s="21" t="n">
        <v>2339901525</v>
      </c>
      <c r="AD4" s="21" t="n">
        <v>2410098571</v>
      </c>
      <c r="AE4" s="21" t="n">
        <v>2482401528</v>
      </c>
      <c r="AF4" s="21" t="n">
        <v>2556873574</v>
      </c>
      <c r="AG4" s="21" t="n">
        <v>2633579781</v>
      </c>
      <c r="AH4" s="21" t="n">
        <v>2712587175</v>
      </c>
      <c r="AI4" s="21" t="n">
        <v>2793964790</v>
      </c>
      <c r="AJ4" s="21" t="n">
        <v>2877783734</v>
      </c>
      <c r="AK4" s="21" t="n">
        <v>2964117246</v>
      </c>
      <c r="AL4" s="21" t="n">
        <v>3053040763</v>
      </c>
      <c r="AM4" s="21" t="n">
        <v>3144631986</v>
      </c>
      <c r="AN4" s="21" t="n">
        <v>3238970945</v>
      </c>
      <c r="AO4" s="21" t="n">
        <v>3336140074</v>
      </c>
      <c r="AP4" s="21" t="n">
        <v>3436224276</v>
      </c>
      <c r="AQ4" s="21" t="n">
        <v>3539311004</v>
      </c>
      <c r="AR4" s="21" t="n">
        <v>3645490334</v>
      </c>
      <c r="AS4" s="21" t="n">
        <v>3754855044</v>
      </c>
      <c r="AT4" s="21" t="n">
        <v>3867500696</v>
      </c>
      <c r="AU4" s="21" t="n">
        <v>3983525717</v>
      </c>
      <c r="AV4" s="21" t="n">
        <v>4103031488</v>
      </c>
      <c r="AW4" s="21" t="n">
        <v>4226122433</v>
      </c>
      <c r="AX4" s="21" t="n">
        <v>4352906106</v>
      </c>
      <c r="AY4" s="21" t="n">
        <v>4483493289</v>
      </c>
      <c r="AZ4" s="21" t="n">
        <v>4617998088</v>
      </c>
      <c r="BA4" s="21" t="n">
        <v>4756538030</v>
      </c>
      <c r="BB4" s="21" t="n">
        <v>4899234171</v>
      </c>
      <c r="BC4" s="21" t="n">
        <v>5046211196</v>
      </c>
      <c r="BD4" s="21" t="n">
        <v>5197597532</v>
      </c>
      <c r="BE4" s="21" t="n">
        <v>5353525458</v>
      </c>
      <c r="BF4" s="21" t="n">
        <v>5514131222</v>
      </c>
      <c r="BG4" s="21" t="n">
        <v>5679555159</v>
      </c>
      <c r="BH4" s="21" t="n">
        <v>5849941813</v>
      </c>
      <c r="BI4" s="21" t="n">
        <v>6025440068</v>
      </c>
      <c r="BJ4" s="21" t="n">
        <v>6206203270</v>
      </c>
      <c r="BK4" s="21" t="n">
        <v>6392389368</v>
      </c>
      <c r="BL4" s="21" t="n">
        <v>6584161049</v>
      </c>
      <c r="BM4" s="21" t="n">
        <v>6781685880</v>
      </c>
      <c r="BN4" s="21" t="n">
        <v>6985136457</v>
      </c>
      <c r="BO4" s="21" t="n">
        <v>7194690551</v>
      </c>
      <c r="BP4" s="21" t="n">
        <v>7410531267</v>
      </c>
      <c r="BQ4" s="21" t="n">
        <v>7632847205</v>
      </c>
      <c r="BR4" s="21" t="n">
        <v>7861832621</v>
      </c>
      <c r="BS4" s="21" t="n"/>
      <c r="BT4" s="21" t="n"/>
      <c r="BU4" s="21" t="n"/>
      <c r="BV4" s="21" t="n"/>
      <c r="BW4" s="21" t="n"/>
      <c r="BX4" s="21" t="n"/>
      <c r="BY4" s="21" t="n"/>
      <c r="BZ4" s="21" t="n"/>
      <c r="CA4" s="21" t="n"/>
      <c r="CB4" s="21" t="n"/>
      <c r="CC4" s="21" t="n"/>
      <c r="CD4" s="21" t="n"/>
    </row>
    <row r="5">
      <c r="A5" s="19" t="inlineStr">
        <is>
          <t>revenue_1</t>
        </is>
      </c>
      <c r="B5" s="22" t="inlineStr">
        <is>
          <t>Revenue 1</t>
        </is>
      </c>
      <c r="C5" s="23" t="n">
        <v>958000000</v>
      </c>
      <c r="D5" s="23" t="n">
        <v>986740000</v>
      </c>
      <c r="E5" s="23" t="n">
        <v>1016342200</v>
      </c>
      <c r="F5" s="23" t="n">
        <v>1046832466</v>
      </c>
      <c r="G5" s="23" t="n">
        <v>1078237440</v>
      </c>
      <c r="H5" s="23" t="n">
        <v>1110584563</v>
      </c>
      <c r="I5" s="23" t="n">
        <v>1143902100</v>
      </c>
      <c r="J5" s="23" t="n">
        <v>1178219163</v>
      </c>
      <c r="K5" s="23" t="n">
        <v>1213565738</v>
      </c>
      <c r="L5" s="23" t="n">
        <v>1249972710</v>
      </c>
      <c r="M5" s="23" t="n">
        <v>1287471891</v>
      </c>
      <c r="N5" s="23" t="n">
        <v>1326096048</v>
      </c>
      <c r="O5" s="23" t="n">
        <v>1365878930</v>
      </c>
      <c r="P5" s="23" t="n">
        <v>1406855297</v>
      </c>
      <c r="Q5" s="23" t="n">
        <v>1449060956</v>
      </c>
      <c r="R5" s="23" t="n">
        <v>1492532785</v>
      </c>
      <c r="S5" s="23" t="n">
        <v>1537308769</v>
      </c>
      <c r="T5" s="23" t="n">
        <v>1583428032</v>
      </c>
      <c r="U5" s="23" t="n">
        <v>1630930873</v>
      </c>
      <c r="V5" s="23" t="n">
        <v>1679858799</v>
      </c>
      <c r="W5" s="23" t="n">
        <v>1730254563</v>
      </c>
      <c r="X5" s="23" t="n">
        <v>1782162200</v>
      </c>
      <c r="Y5" s="23" t="n">
        <v>1835627066</v>
      </c>
      <c r="Z5" s="23" t="n">
        <v>1890695878</v>
      </c>
      <c r="AA5" s="23" t="n">
        <v>1947416754</v>
      </c>
      <c r="AB5" s="23" t="n">
        <v>2005839257</v>
      </c>
      <c r="AC5" s="23" t="n">
        <v>2066014434</v>
      </c>
      <c r="AD5" s="23" t="n">
        <v>2127994867</v>
      </c>
      <c r="AE5" s="23" t="n">
        <v>2191834713</v>
      </c>
      <c r="AF5" s="23" t="n">
        <v>2257589755</v>
      </c>
      <c r="AG5" s="23" t="n">
        <v>2325317447</v>
      </c>
      <c r="AH5" s="23" t="n">
        <v>2395076971</v>
      </c>
      <c r="AI5" s="23" t="n">
        <v>2466929280</v>
      </c>
      <c r="AJ5" s="23" t="n">
        <v>2540937158</v>
      </c>
      <c r="AK5" s="23" t="n">
        <v>2617165273</v>
      </c>
      <c r="AL5" s="23" t="n">
        <v>2695680231</v>
      </c>
      <c r="AM5" s="23" t="n">
        <v>2776550638</v>
      </c>
      <c r="AN5" s="23" t="n">
        <v>2859847157</v>
      </c>
      <c r="AO5" s="23" t="n">
        <v>2945642572</v>
      </c>
      <c r="AP5" s="23" t="n">
        <v>3034011849</v>
      </c>
      <c r="AQ5" s="23" t="n">
        <v>3125032205</v>
      </c>
      <c r="AR5" s="23" t="n">
        <v>3218783171</v>
      </c>
      <c r="AS5" s="23" t="n">
        <v>3315346666</v>
      </c>
      <c r="AT5" s="23" t="n">
        <v>3414807066</v>
      </c>
      <c r="AU5" s="23" t="n">
        <v>3517251278</v>
      </c>
      <c r="AV5" s="23" t="n">
        <v>3622768816</v>
      </c>
      <c r="AW5" s="23" t="n">
        <v>3731451881</v>
      </c>
      <c r="AX5" s="23" t="n">
        <v>3843395437</v>
      </c>
      <c r="AY5" s="23" t="n">
        <v>3958697300</v>
      </c>
      <c r="AZ5" s="23" t="n">
        <v>4077458219</v>
      </c>
      <c r="BA5" s="23" t="n">
        <v>4199781966</v>
      </c>
      <c r="BB5" s="23" t="n">
        <v>4325775425</v>
      </c>
      <c r="BC5" s="23" t="n">
        <v>4455548688</v>
      </c>
      <c r="BD5" s="23" t="n">
        <v>4589215148</v>
      </c>
      <c r="BE5" s="23" t="n">
        <v>4726891603</v>
      </c>
      <c r="BF5" s="23" t="n">
        <v>4868698351</v>
      </c>
      <c r="BG5" s="23" t="n">
        <v>5014759301</v>
      </c>
      <c r="BH5" s="23" t="n">
        <v>5165202080</v>
      </c>
      <c r="BI5" s="23" t="n">
        <v>5320158143</v>
      </c>
      <c r="BJ5" s="23" t="n">
        <v>5479762887</v>
      </c>
      <c r="BK5" s="23" t="n">
        <v>5644155774</v>
      </c>
      <c r="BL5" s="23" t="n">
        <v>5813480447</v>
      </c>
      <c r="BM5" s="23" t="n">
        <v>5987884860</v>
      </c>
      <c r="BN5" s="23" t="n">
        <v>6167521406</v>
      </c>
      <c r="BO5" s="23" t="n">
        <v>6352547048</v>
      </c>
      <c r="BP5" s="23" t="n">
        <v>6543123460</v>
      </c>
      <c r="BQ5" s="23" t="n">
        <v>6739417164</v>
      </c>
      <c r="BR5" s="23" t="n">
        <v>6941599678</v>
      </c>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v>126000000</v>
      </c>
      <c r="D7" s="23" t="n">
        <v>129780000</v>
      </c>
      <c r="E7" s="23" t="n">
        <v>133673400</v>
      </c>
      <c r="F7" s="23" t="n">
        <v>137683602</v>
      </c>
      <c r="G7" s="23" t="n">
        <v>141814110</v>
      </c>
      <c r="H7" s="23" t="n">
        <v>146068533</v>
      </c>
      <c r="I7" s="23" t="n">
        <v>150450589</v>
      </c>
      <c r="J7" s="23" t="n">
        <v>154964107</v>
      </c>
      <c r="K7" s="23" t="n">
        <v>159613030</v>
      </c>
      <c r="L7" s="23" t="n">
        <v>164401421</v>
      </c>
      <c r="M7" s="23" t="n">
        <v>169333464</v>
      </c>
      <c r="N7" s="23" t="n">
        <v>174413468</v>
      </c>
      <c r="O7" s="23" t="n">
        <v>179645872</v>
      </c>
      <c r="P7" s="23" t="n">
        <v>185035248</v>
      </c>
      <c r="Q7" s="23" t="n">
        <v>190586305</v>
      </c>
      <c r="R7" s="23" t="n">
        <v>196303894</v>
      </c>
      <c r="S7" s="23" t="n">
        <v>202193011</v>
      </c>
      <c r="T7" s="23" t="n">
        <v>208258802</v>
      </c>
      <c r="U7" s="23" t="n">
        <v>214506566</v>
      </c>
      <c r="V7" s="23" t="n">
        <v>220941763</v>
      </c>
      <c r="W7" s="23" t="n">
        <v>227570016</v>
      </c>
      <c r="X7" s="23" t="n">
        <v>234397116</v>
      </c>
      <c r="Y7" s="23" t="n">
        <v>241429030</v>
      </c>
      <c r="Z7" s="23" t="n">
        <v>248671900</v>
      </c>
      <c r="AA7" s="23" t="n">
        <v>256132057</v>
      </c>
      <c r="AB7" s="23" t="n">
        <v>263816019</v>
      </c>
      <c r="AC7" s="23" t="n">
        <v>271730500</v>
      </c>
      <c r="AD7" s="23" t="n">
        <v>279882415</v>
      </c>
      <c r="AE7" s="23" t="n">
        <v>288278887</v>
      </c>
      <c r="AF7" s="23" t="n">
        <v>296927254</v>
      </c>
      <c r="AG7" s="23" t="n">
        <v>305835071</v>
      </c>
      <c r="AH7" s="23" t="n">
        <v>315010124</v>
      </c>
      <c r="AI7" s="23" t="n">
        <v>324460427</v>
      </c>
      <c r="AJ7" s="23" t="n">
        <v>334194240</v>
      </c>
      <c r="AK7" s="23" t="n">
        <v>344220067</v>
      </c>
      <c r="AL7" s="23" t="n">
        <v>354546669</v>
      </c>
      <c r="AM7" s="23" t="n">
        <v>365183069</v>
      </c>
      <c r="AN7" s="23" t="n">
        <v>376138561</v>
      </c>
      <c r="AO7" s="23" t="n">
        <v>387422718</v>
      </c>
      <c r="AP7" s="23" t="n">
        <v>399045400</v>
      </c>
      <c r="AQ7" s="23" t="n">
        <v>411016762</v>
      </c>
      <c r="AR7" s="23" t="n">
        <v>423347265</v>
      </c>
      <c r="AS7" s="23" t="n">
        <v>436047683</v>
      </c>
      <c r="AT7" s="23" t="n">
        <v>449129113</v>
      </c>
      <c r="AU7" s="23" t="n">
        <v>462602986</v>
      </c>
      <c r="AV7" s="23" t="n">
        <v>476481076</v>
      </c>
      <c r="AW7" s="23" t="n">
        <v>490775508</v>
      </c>
      <c r="AX7" s="23" t="n">
        <v>505498774</v>
      </c>
      <c r="AY7" s="23" t="n">
        <v>520663737</v>
      </c>
      <c r="AZ7" s="23" t="n">
        <v>536283649</v>
      </c>
      <c r="BA7" s="23" t="n">
        <v>552372158</v>
      </c>
      <c r="BB7" s="23" t="n">
        <v>568943323</v>
      </c>
      <c r="BC7" s="23" t="n">
        <v>586011623</v>
      </c>
      <c r="BD7" s="23" t="n">
        <v>603591971</v>
      </c>
      <c r="BE7" s="23" t="n">
        <v>621699731</v>
      </c>
      <c r="BF7" s="23" t="n">
        <v>640350723</v>
      </c>
      <c r="BG7" s="23" t="n">
        <v>659561244</v>
      </c>
      <c r="BH7" s="23" t="n">
        <v>679348082</v>
      </c>
      <c r="BI7" s="23" t="n">
        <v>699728524</v>
      </c>
      <c r="BJ7" s="23" t="n">
        <v>720720380</v>
      </c>
      <c r="BK7" s="23" t="n">
        <v>742341991</v>
      </c>
      <c r="BL7" s="23" t="n">
        <v>764612251</v>
      </c>
      <c r="BM7" s="23" t="n">
        <v>787550618</v>
      </c>
      <c r="BN7" s="23" t="n">
        <v>811177137</v>
      </c>
      <c r="BO7" s="23" t="n">
        <v>835512451</v>
      </c>
      <c r="BP7" s="23" t="n">
        <v>860577825</v>
      </c>
      <c r="BQ7" s="23" t="n">
        <v>886395159</v>
      </c>
      <c r="BR7" s="23" t="n">
        <v>912987014</v>
      </c>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-525000000</v>
      </c>
      <c r="D14" s="21" t="n">
        <v>-535500000</v>
      </c>
      <c r="E14" s="21" t="n">
        <v>-546210000</v>
      </c>
      <c r="F14" s="21" t="n">
        <v>-557134200</v>
      </c>
      <c r="G14" s="21" t="n">
        <v>-568276884</v>
      </c>
      <c r="H14" s="21" t="n">
        <v>-579642422</v>
      </c>
      <c r="I14" s="21" t="n">
        <v>-591235270</v>
      </c>
      <c r="J14" s="21" t="n">
        <v>-603059976</v>
      </c>
      <c r="K14" s="21" t="n">
        <v>-615121175</v>
      </c>
      <c r="L14" s="21" t="n">
        <v>-627423599</v>
      </c>
      <c r="M14" s="21" t="n">
        <v>-639972070</v>
      </c>
      <c r="N14" s="21" t="n">
        <v>-652771512</v>
      </c>
      <c r="O14" s="21" t="n">
        <v>-665826942</v>
      </c>
      <c r="P14" s="21" t="n">
        <v>-679143481</v>
      </c>
      <c r="Q14" s="21" t="n">
        <v>-692726351</v>
      </c>
      <c r="R14" s="21" t="n">
        <v>-706580878</v>
      </c>
      <c r="S14" s="21" t="n">
        <v>-720712495</v>
      </c>
      <c r="T14" s="21" t="n">
        <v>-735126745</v>
      </c>
      <c r="U14" s="21" t="n">
        <v>-749829280</v>
      </c>
      <c r="V14" s="21" t="n">
        <v>-764825866</v>
      </c>
      <c r="W14" s="21" t="n">
        <v>-780122383</v>
      </c>
      <c r="X14" s="21" t="n">
        <v>-795724831</v>
      </c>
      <c r="Y14" s="21" t="n">
        <v>-811639327</v>
      </c>
      <c r="Z14" s="21" t="n">
        <v>-827872114</v>
      </c>
      <c r="AA14" s="21" t="n">
        <v>-844429556</v>
      </c>
      <c r="AB14" s="21" t="n">
        <v>-861318147</v>
      </c>
      <c r="AC14" s="21" t="n">
        <v>-878544510</v>
      </c>
      <c r="AD14" s="21" t="n">
        <v>-896115400</v>
      </c>
      <c r="AE14" s="21" t="n">
        <v>-914037708</v>
      </c>
      <c r="AF14" s="21" t="n">
        <v>-932318462</v>
      </c>
      <c r="AG14" s="21" t="n">
        <v>-950964832</v>
      </c>
      <c r="AH14" s="21" t="n">
        <v>-969984128</v>
      </c>
      <c r="AI14" s="21" t="n">
        <v>-989383811</v>
      </c>
      <c r="AJ14" s="21" t="n">
        <v>-1009171487</v>
      </c>
      <c r="AK14" s="21" t="n">
        <v>-1029354917</v>
      </c>
      <c r="AL14" s="21" t="n">
        <v>-1049942015</v>
      </c>
      <c r="AM14" s="21" t="n">
        <v>-1070940855</v>
      </c>
      <c r="AN14" s="21" t="n">
        <v>-1092359673</v>
      </c>
      <c r="AO14" s="21" t="n">
        <v>-1114206866</v>
      </c>
      <c r="AP14" s="21" t="n">
        <v>-1136491003</v>
      </c>
      <c r="AQ14" s="21" t="n">
        <v>-1159220823</v>
      </c>
      <c r="AR14" s="21" t="n">
        <v>-1182405240</v>
      </c>
      <c r="AS14" s="21" t="n">
        <v>-1206053345</v>
      </c>
      <c r="AT14" s="21" t="n">
        <v>-1230174412</v>
      </c>
      <c r="AU14" s="21" t="n">
        <v>-1254777900</v>
      </c>
      <c r="AV14" s="21" t="n">
        <v>-1279873458</v>
      </c>
      <c r="AW14" s="21" t="n">
        <v>-1305470927</v>
      </c>
      <c r="AX14" s="21" t="n">
        <v>-1331580345</v>
      </c>
      <c r="AY14" s="21" t="n">
        <v>-1358211952</v>
      </c>
      <c r="AZ14" s="21" t="n">
        <v>-1385376191</v>
      </c>
      <c r="BA14" s="21" t="n">
        <v>-1413083715</v>
      </c>
      <c r="BB14" s="21" t="n">
        <v>-1441345390</v>
      </c>
      <c r="BC14" s="21" t="n">
        <v>-1470172297</v>
      </c>
      <c r="BD14" s="21" t="n">
        <v>-1499575743</v>
      </c>
      <c r="BE14" s="21" t="n">
        <v>-1529567258</v>
      </c>
      <c r="BF14" s="21" t="n">
        <v>-1560158603</v>
      </c>
      <c r="BG14" s="21" t="n">
        <v>-1591361775</v>
      </c>
      <c r="BH14" s="21" t="n">
        <v>-1623189011</v>
      </c>
      <c r="BI14" s="21" t="n">
        <v>-1655652791</v>
      </c>
      <c r="BJ14" s="21" t="n">
        <v>-1688765847</v>
      </c>
      <c r="BK14" s="21" t="n">
        <v>-1722541164</v>
      </c>
      <c r="BL14" s="21" t="n">
        <v>-1756991987</v>
      </c>
      <c r="BM14" s="21" t="n">
        <v>-1792131827</v>
      </c>
      <c r="BN14" s="21" t="n">
        <v>-1827974463</v>
      </c>
      <c r="BO14" s="21" t="n">
        <v>-1864533953</v>
      </c>
      <c r="BP14" s="21" t="n">
        <v>-1901824632</v>
      </c>
      <c r="BQ14" s="21" t="n">
        <v>-1939861124</v>
      </c>
      <c r="BR14" s="21" t="n">
        <v>-1978658347</v>
      </c>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-406000000</v>
      </c>
      <c r="D15" s="23" t="n">
        <v>-414120000</v>
      </c>
      <c r="E15" s="23" t="n">
        <v>-422402400</v>
      </c>
      <c r="F15" s="23" t="n">
        <v>-430850448</v>
      </c>
      <c r="G15" s="23" t="n">
        <v>-439467457</v>
      </c>
      <c r="H15" s="23" t="n">
        <v>-448256806</v>
      </c>
      <c r="I15" s="23" t="n">
        <v>-457221942</v>
      </c>
      <c r="J15" s="23" t="n">
        <v>-466366381</v>
      </c>
      <c r="K15" s="23" t="n">
        <v>-475693709</v>
      </c>
      <c r="L15" s="23" t="n">
        <v>-485207583</v>
      </c>
      <c r="M15" s="23" t="n">
        <v>-494911735</v>
      </c>
      <c r="N15" s="23" t="n">
        <v>-504809969</v>
      </c>
      <c r="O15" s="23" t="n">
        <v>-514906169</v>
      </c>
      <c r="P15" s="23" t="n">
        <v>-525204292</v>
      </c>
      <c r="Q15" s="23" t="n">
        <v>-535708378</v>
      </c>
      <c r="R15" s="23" t="n">
        <v>-546422545</v>
      </c>
      <c r="S15" s="23" t="n">
        <v>-557350996</v>
      </c>
      <c r="T15" s="23" t="n">
        <v>-568498016</v>
      </c>
      <c r="U15" s="23" t="n">
        <v>-579867977</v>
      </c>
      <c r="V15" s="23" t="n">
        <v>-591465336</v>
      </c>
      <c r="W15" s="23" t="n">
        <v>-603294643</v>
      </c>
      <c r="X15" s="23" t="n">
        <v>-615360536</v>
      </c>
      <c r="Y15" s="23" t="n">
        <v>-627667746</v>
      </c>
      <c r="Z15" s="23" t="n">
        <v>-640221101</v>
      </c>
      <c r="AA15" s="23" t="n">
        <v>-653025523</v>
      </c>
      <c r="AB15" s="23" t="n">
        <v>-666086034</v>
      </c>
      <c r="AC15" s="23" t="n">
        <v>-679407754</v>
      </c>
      <c r="AD15" s="23" t="n">
        <v>-692995910</v>
      </c>
      <c r="AE15" s="23" t="n">
        <v>-706855828</v>
      </c>
      <c r="AF15" s="23" t="n">
        <v>-720992944</v>
      </c>
      <c r="AG15" s="23" t="n">
        <v>-735412803</v>
      </c>
      <c r="AH15" s="23" t="n">
        <v>-750121059</v>
      </c>
      <c r="AI15" s="23" t="n">
        <v>-765123480</v>
      </c>
      <c r="AJ15" s="23" t="n">
        <v>-780425950</v>
      </c>
      <c r="AK15" s="23" t="n">
        <v>-796034469</v>
      </c>
      <c r="AL15" s="23" t="n">
        <v>-811955158</v>
      </c>
      <c r="AM15" s="23" t="n">
        <v>-828194262</v>
      </c>
      <c r="AN15" s="23" t="n">
        <v>-844758147</v>
      </c>
      <c r="AO15" s="23" t="n">
        <v>-861653310</v>
      </c>
      <c r="AP15" s="23" t="n">
        <v>-878886376</v>
      </c>
      <c r="AQ15" s="23" t="n">
        <v>-896464103</v>
      </c>
      <c r="AR15" s="23" t="n">
        <v>-914393385</v>
      </c>
      <c r="AS15" s="23" t="n">
        <v>-932681253</v>
      </c>
      <c r="AT15" s="23" t="n">
        <v>-951334878</v>
      </c>
      <c r="AU15" s="23" t="n">
        <v>-970361576</v>
      </c>
      <c r="AV15" s="23" t="n">
        <v>-989768807</v>
      </c>
      <c r="AW15" s="23" t="n">
        <v>-1009564183</v>
      </c>
      <c r="AX15" s="23" t="n">
        <v>-1029755467</v>
      </c>
      <c r="AY15" s="23" t="n">
        <v>-1050350577</v>
      </c>
      <c r="AZ15" s="23" t="n">
        <v>-1071357588</v>
      </c>
      <c r="BA15" s="23" t="n">
        <v>-1092784740</v>
      </c>
      <c r="BB15" s="23" t="n">
        <v>-1114640435</v>
      </c>
      <c r="BC15" s="23" t="n">
        <v>-1136933243</v>
      </c>
      <c r="BD15" s="23" t="n">
        <v>-1159671908</v>
      </c>
      <c r="BE15" s="23" t="n">
        <v>-1182865346</v>
      </c>
      <c r="BF15" s="23" t="n">
        <v>-1206522653</v>
      </c>
      <c r="BG15" s="23" t="n">
        <v>-1230653106</v>
      </c>
      <c r="BH15" s="23" t="n">
        <v>-1255266168</v>
      </c>
      <c r="BI15" s="23" t="n">
        <v>-1280371492</v>
      </c>
      <c r="BJ15" s="23" t="n">
        <v>-1305978922</v>
      </c>
      <c r="BK15" s="23" t="n">
        <v>-1332098500</v>
      </c>
      <c r="BL15" s="23" t="n">
        <v>-1358740470</v>
      </c>
      <c r="BM15" s="23" t="n">
        <v>-1385915279</v>
      </c>
      <c r="BN15" s="23" t="n">
        <v>-1413633585</v>
      </c>
      <c r="BO15" s="23" t="n">
        <v>-1441906257</v>
      </c>
      <c r="BP15" s="23" t="n">
        <v>-1470744382</v>
      </c>
      <c r="BQ15" s="23" t="n">
        <v>-1500159270</v>
      </c>
      <c r="BR15" s="23" t="n">
        <v>-1530162455</v>
      </c>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-102000000</v>
      </c>
      <c r="D17" s="23" t="n">
        <v>-104040000</v>
      </c>
      <c r="E17" s="23" t="n">
        <v>-106120800</v>
      </c>
      <c r="F17" s="23" t="n">
        <v>-108243216</v>
      </c>
      <c r="G17" s="23" t="n">
        <v>-110408080</v>
      </c>
      <c r="H17" s="23" t="n">
        <v>-112616242</v>
      </c>
      <c r="I17" s="23" t="n">
        <v>-114868567</v>
      </c>
      <c r="J17" s="23" t="n">
        <v>-117165938</v>
      </c>
      <c r="K17" s="23" t="n">
        <v>-119509257</v>
      </c>
      <c r="L17" s="23" t="n">
        <v>-121899442</v>
      </c>
      <c r="M17" s="23" t="n">
        <v>-124337431</v>
      </c>
      <c r="N17" s="23" t="n">
        <v>-126824179</v>
      </c>
      <c r="O17" s="23" t="n">
        <v>-129360663</v>
      </c>
      <c r="P17" s="23" t="n">
        <v>-131947876</v>
      </c>
      <c r="Q17" s="23" t="n">
        <v>-134586834</v>
      </c>
      <c r="R17" s="23" t="n">
        <v>-137278571</v>
      </c>
      <c r="S17" s="23" t="n">
        <v>-140024142</v>
      </c>
      <c r="T17" s="23" t="n">
        <v>-142824625</v>
      </c>
      <c r="U17" s="23" t="n">
        <v>-145681117</v>
      </c>
      <c r="V17" s="23" t="n">
        <v>-148594740</v>
      </c>
      <c r="W17" s="23" t="n">
        <v>-151566634</v>
      </c>
      <c r="X17" s="23" t="n">
        <v>-154597967</v>
      </c>
      <c r="Y17" s="23" t="n">
        <v>-157689926</v>
      </c>
      <c r="Z17" s="23" t="n">
        <v>-160843725</v>
      </c>
      <c r="AA17" s="23" t="n">
        <v>-164060599</v>
      </c>
      <c r="AB17" s="23" t="n">
        <v>-167341811</v>
      </c>
      <c r="AC17" s="23" t="n">
        <v>-170688648</v>
      </c>
      <c r="AD17" s="23" t="n">
        <v>-174102421</v>
      </c>
      <c r="AE17" s="23" t="n">
        <v>-177584469</v>
      </c>
      <c r="AF17" s="23" t="n">
        <v>-181136158</v>
      </c>
      <c r="AG17" s="23" t="n">
        <v>-184758882</v>
      </c>
      <c r="AH17" s="23" t="n">
        <v>-188454059</v>
      </c>
      <c r="AI17" s="23" t="n">
        <v>-192223140</v>
      </c>
      <c r="AJ17" s="23" t="n">
        <v>-196067603</v>
      </c>
      <c r="AK17" s="23" t="n">
        <v>-199988955</v>
      </c>
      <c r="AL17" s="23" t="n">
        <v>-203988734</v>
      </c>
      <c r="AM17" s="23" t="n">
        <v>-208068509</v>
      </c>
      <c r="AN17" s="23" t="n">
        <v>-212229879</v>
      </c>
      <c r="AO17" s="23" t="n">
        <v>-216474477</v>
      </c>
      <c r="AP17" s="23" t="n">
        <v>-220803966</v>
      </c>
      <c r="AQ17" s="23" t="n">
        <v>-225220046</v>
      </c>
      <c r="AR17" s="23" t="n">
        <v>-229724447</v>
      </c>
      <c r="AS17" s="23" t="n">
        <v>-234318936</v>
      </c>
      <c r="AT17" s="23" t="n">
        <v>-239005314</v>
      </c>
      <c r="AU17" s="23" t="n">
        <v>-243785421</v>
      </c>
      <c r="AV17" s="23" t="n">
        <v>-248661129</v>
      </c>
      <c r="AW17" s="23" t="n">
        <v>-253634352</v>
      </c>
      <c r="AX17" s="23" t="n">
        <v>-258707039</v>
      </c>
      <c r="AY17" s="23" t="n">
        <v>-263881179</v>
      </c>
      <c r="AZ17" s="23" t="n">
        <v>-269158803</v>
      </c>
      <c r="BA17" s="23" t="n">
        <v>-274541979</v>
      </c>
      <c r="BB17" s="23" t="n">
        <v>-280032819</v>
      </c>
      <c r="BC17" s="23" t="n">
        <v>-285633475</v>
      </c>
      <c r="BD17" s="23" t="n">
        <v>-291346144</v>
      </c>
      <c r="BE17" s="23" t="n">
        <v>-297173067</v>
      </c>
      <c r="BF17" s="23" t="n">
        <v>-303116529</v>
      </c>
      <c r="BG17" s="23" t="n">
        <v>-309178859</v>
      </c>
      <c r="BH17" s="23" t="n">
        <v>-315362436</v>
      </c>
      <c r="BI17" s="23" t="n">
        <v>-321669685</v>
      </c>
      <c r="BJ17" s="23" t="n">
        <v>-328103079</v>
      </c>
      <c r="BK17" s="23" t="n">
        <v>-334665140</v>
      </c>
      <c r="BL17" s="23" t="n">
        <v>-341358443</v>
      </c>
      <c r="BM17" s="23" t="n">
        <v>-348185612</v>
      </c>
      <c r="BN17" s="23" t="n">
        <v>-355149324</v>
      </c>
      <c r="BO17" s="23" t="n">
        <v>-362252311</v>
      </c>
      <c r="BP17" s="23" t="n">
        <v>-369497357</v>
      </c>
      <c r="BQ17" s="23" t="n">
        <v>-376887304</v>
      </c>
      <c r="BR17" s="23" t="n">
        <v>-384425050</v>
      </c>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560000000</v>
      </c>
      <c r="D29" s="21" t="n">
        <v>582050000</v>
      </c>
      <c r="E29" s="21" t="n">
        <v>604866500</v>
      </c>
      <c r="F29" s="21" t="n">
        <v>628474595</v>
      </c>
      <c r="G29" s="21" t="n">
        <v>652900175</v>
      </c>
      <c r="H29" s="21" t="n">
        <v>678169949</v>
      </c>
      <c r="I29" s="21" t="n">
        <v>704311472</v>
      </c>
      <c r="J29" s="21" t="n">
        <v>731353168</v>
      </c>
      <c r="K29" s="21" t="n">
        <v>759324363</v>
      </c>
      <c r="L29" s="21" t="n">
        <v>788255306</v>
      </c>
      <c r="M29" s="21" t="n">
        <v>818177201</v>
      </c>
      <c r="N29" s="21" t="n">
        <v>849122238</v>
      </c>
      <c r="O29" s="21" t="n">
        <v>881123620</v>
      </c>
      <c r="P29" s="21" t="n">
        <v>914215598</v>
      </c>
      <c r="Q29" s="21" t="n">
        <v>948433501</v>
      </c>
      <c r="R29" s="21" t="n">
        <v>983813769</v>
      </c>
      <c r="S29" s="21" t="n">
        <v>1020393991</v>
      </c>
      <c r="T29" s="21" t="n">
        <v>1058212936</v>
      </c>
      <c r="U29" s="21" t="n">
        <v>1097310591</v>
      </c>
      <c r="V29" s="21" t="n">
        <v>1137728202</v>
      </c>
      <c r="W29" s="21" t="n">
        <v>1179508307</v>
      </c>
      <c r="X29" s="21" t="n">
        <v>1222694780</v>
      </c>
      <c r="Y29" s="21" t="n">
        <v>1267332871</v>
      </c>
      <c r="Z29" s="21" t="n">
        <v>1313469251</v>
      </c>
      <c r="AA29" s="21" t="n">
        <v>1361152050</v>
      </c>
      <c r="AB29" s="21" t="n">
        <v>1410430907</v>
      </c>
      <c r="AC29" s="21" t="n">
        <v>1461357015</v>
      </c>
      <c r="AD29" s="21" t="n">
        <v>1513983171</v>
      </c>
      <c r="AE29" s="21" t="n">
        <v>1568363820</v>
      </c>
      <c r="AF29" s="21" t="n">
        <v>1624555112</v>
      </c>
      <c r="AG29" s="21" t="n">
        <v>1682614950</v>
      </c>
      <c r="AH29" s="21" t="n">
        <v>1742603046</v>
      </c>
      <c r="AI29" s="21" t="n">
        <v>1804580979</v>
      </c>
      <c r="AJ29" s="21" t="n">
        <v>1868612247</v>
      </c>
      <c r="AK29" s="21" t="n">
        <v>1934762329</v>
      </c>
      <c r="AL29" s="21" t="n">
        <v>2003098748</v>
      </c>
      <c r="AM29" s="21" t="n">
        <v>2073691130</v>
      </c>
      <c r="AN29" s="21" t="n">
        <v>2146611273</v>
      </c>
      <c r="AO29" s="21" t="n">
        <v>2221933208</v>
      </c>
      <c r="AP29" s="21" t="n">
        <v>2299733273</v>
      </c>
      <c r="AQ29" s="21" t="n">
        <v>2380090181</v>
      </c>
      <c r="AR29" s="21" t="n">
        <v>2463085095</v>
      </c>
      <c r="AS29" s="21" t="n">
        <v>2548801700</v>
      </c>
      <c r="AT29" s="21" t="n">
        <v>2637326284</v>
      </c>
      <c r="AU29" s="21" t="n">
        <v>2728747817</v>
      </c>
      <c r="AV29" s="21" t="n">
        <v>2823158030</v>
      </c>
      <c r="AW29" s="21" t="n">
        <v>2920651506</v>
      </c>
      <c r="AX29" s="21" t="n">
        <v>3021325760</v>
      </c>
      <c r="AY29" s="21" t="n">
        <v>3125281337</v>
      </c>
      <c r="AZ29" s="21" t="n">
        <v>3232621896</v>
      </c>
      <c r="BA29" s="21" t="n">
        <v>3343454315</v>
      </c>
      <c r="BB29" s="21" t="n">
        <v>3457888782</v>
      </c>
      <c r="BC29" s="21" t="n">
        <v>3576038899</v>
      </c>
      <c r="BD29" s="21" t="n">
        <v>3698021789</v>
      </c>
      <c r="BE29" s="21" t="n">
        <v>3823958200</v>
      </c>
      <c r="BF29" s="21" t="n">
        <v>3953972619</v>
      </c>
      <c r="BG29" s="21" t="n">
        <v>4088193383</v>
      </c>
      <c r="BH29" s="21" t="n">
        <v>4226752802</v>
      </c>
      <c r="BI29" s="21" t="n">
        <v>4369787277</v>
      </c>
      <c r="BJ29" s="21" t="n">
        <v>4517437423</v>
      </c>
      <c r="BK29" s="21" t="n">
        <v>4669848204</v>
      </c>
      <c r="BL29" s="21" t="n">
        <v>4827169062</v>
      </c>
      <c r="BM29" s="21" t="n">
        <v>4989554053</v>
      </c>
      <c r="BN29" s="21" t="n">
        <v>5157161993</v>
      </c>
      <c r="BO29" s="21" t="n">
        <v>5330156598</v>
      </c>
      <c r="BP29" s="21" t="n">
        <v>5508706635</v>
      </c>
      <c r="BQ29" s="21" t="n">
        <v>5692986081</v>
      </c>
      <c r="BR29" s="21" t="n">
        <v>5883174274</v>
      </c>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560000000</v>
      </c>
      <c r="D63" s="21" t="n">
        <v>582050000</v>
      </c>
      <c r="E63" s="21" t="n">
        <v>604866500</v>
      </c>
      <c r="F63" s="21" t="n">
        <v>628474595</v>
      </c>
      <c r="G63" s="21" t="n">
        <v>652900175</v>
      </c>
      <c r="H63" s="21" t="n">
        <v>678169949</v>
      </c>
      <c r="I63" s="21" t="n">
        <v>704311472</v>
      </c>
      <c r="J63" s="21" t="n">
        <v>731353168</v>
      </c>
      <c r="K63" s="21" t="n">
        <v>759324363</v>
      </c>
      <c r="L63" s="21" t="n">
        <v>788255306</v>
      </c>
      <c r="M63" s="21" t="n">
        <v>818177201</v>
      </c>
      <c r="N63" s="21" t="n">
        <v>849122238</v>
      </c>
      <c r="O63" s="21" t="n">
        <v>881123620</v>
      </c>
      <c r="P63" s="21" t="n">
        <v>914215598</v>
      </c>
      <c r="Q63" s="21" t="n">
        <v>948433501</v>
      </c>
      <c r="R63" s="21" t="n">
        <v>983813769</v>
      </c>
      <c r="S63" s="21" t="n">
        <v>1020393991</v>
      </c>
      <c r="T63" s="21" t="n">
        <v>1058212936</v>
      </c>
      <c r="U63" s="21" t="n">
        <v>1097310591</v>
      </c>
      <c r="V63" s="21" t="n">
        <v>1137728202</v>
      </c>
      <c r="W63" s="21" t="n">
        <v>1179508307</v>
      </c>
      <c r="X63" s="21" t="n">
        <v>1222694780</v>
      </c>
      <c r="Y63" s="21" t="n">
        <v>1267332871</v>
      </c>
      <c r="Z63" s="21" t="n">
        <v>1313469251</v>
      </c>
      <c r="AA63" s="21" t="n">
        <v>1361152050</v>
      </c>
      <c r="AB63" s="21" t="n">
        <v>1410430907</v>
      </c>
      <c r="AC63" s="21" t="n">
        <v>1461357015</v>
      </c>
      <c r="AD63" s="21" t="n">
        <v>1513983171</v>
      </c>
      <c r="AE63" s="21" t="n">
        <v>1568363820</v>
      </c>
      <c r="AF63" s="21" t="n">
        <v>1624555112</v>
      </c>
      <c r="AG63" s="21" t="n">
        <v>1682614950</v>
      </c>
      <c r="AH63" s="21" t="n">
        <v>1742603046</v>
      </c>
      <c r="AI63" s="21" t="n">
        <v>1804580979</v>
      </c>
      <c r="AJ63" s="21" t="n">
        <v>1868612247</v>
      </c>
      <c r="AK63" s="21" t="n">
        <v>1934762329</v>
      </c>
      <c r="AL63" s="21" t="n">
        <v>2003098748</v>
      </c>
      <c r="AM63" s="21" t="n">
        <v>2073691130</v>
      </c>
      <c r="AN63" s="21" t="n">
        <v>2146611273</v>
      </c>
      <c r="AO63" s="21" t="n">
        <v>2221933208</v>
      </c>
      <c r="AP63" s="21" t="n">
        <v>2299733273</v>
      </c>
      <c r="AQ63" s="21" t="n">
        <v>2380090181</v>
      </c>
      <c r="AR63" s="21" t="n">
        <v>2463085095</v>
      </c>
      <c r="AS63" s="21" t="n">
        <v>2548801700</v>
      </c>
      <c r="AT63" s="21" t="n">
        <v>2637326284</v>
      </c>
      <c r="AU63" s="21" t="n">
        <v>2728747817</v>
      </c>
      <c r="AV63" s="21" t="n">
        <v>2823158030</v>
      </c>
      <c r="AW63" s="21" t="n">
        <v>2920651506</v>
      </c>
      <c r="AX63" s="21" t="n">
        <v>3021325760</v>
      </c>
      <c r="AY63" s="21" t="n">
        <v>3125281337</v>
      </c>
      <c r="AZ63" s="21" t="n">
        <v>3232621896</v>
      </c>
      <c r="BA63" s="21" t="n">
        <v>3343454315</v>
      </c>
      <c r="BB63" s="21" t="n">
        <v>3457888782</v>
      </c>
      <c r="BC63" s="21" t="n">
        <v>3576038899</v>
      </c>
      <c r="BD63" s="21" t="n">
        <v>3698021789</v>
      </c>
      <c r="BE63" s="21" t="n">
        <v>3823958200</v>
      </c>
      <c r="BF63" s="21" t="n">
        <v>3953972619</v>
      </c>
      <c r="BG63" s="21" t="n">
        <v>4088193383</v>
      </c>
      <c r="BH63" s="21" t="n">
        <v>4226752802</v>
      </c>
      <c r="BI63" s="21" t="n">
        <v>4369787277</v>
      </c>
      <c r="BJ63" s="21" t="n">
        <v>4517437423</v>
      </c>
      <c r="BK63" s="21" t="n">
        <v>4669848204</v>
      </c>
      <c r="BL63" s="21" t="n">
        <v>4827169062</v>
      </c>
      <c r="BM63" s="21" t="n">
        <v>4989554053</v>
      </c>
      <c r="BN63" s="21" t="n">
        <v>5157161993</v>
      </c>
      <c r="BO63" s="21" t="n">
        <v>5330156598</v>
      </c>
      <c r="BP63" s="21" t="n">
        <v>5508706635</v>
      </c>
      <c r="BQ63" s="21" t="n">
        <v>5692986081</v>
      </c>
      <c r="BR63" s="21" t="n">
        <v>5883174274</v>
      </c>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-257000000</v>
      </c>
      <c r="D65" s="23" t="n">
        <v>-248709677</v>
      </c>
      <c r="E65" s="23" t="n">
        <v>-240419355</v>
      </c>
      <c r="F65" s="23" t="n">
        <v>-232129032</v>
      </c>
      <c r="G65" s="23" t="n">
        <v>-223838710</v>
      </c>
      <c r="H65" s="23" t="n">
        <v>-215548387</v>
      </c>
      <c r="I65" s="23" t="n">
        <v>-207258065</v>
      </c>
      <c r="J65" s="23" t="n">
        <v>-198967742</v>
      </c>
      <c r="K65" s="23" t="n">
        <v>-190677419</v>
      </c>
      <c r="L65" s="23" t="n">
        <v>-182387097</v>
      </c>
      <c r="M65" s="23" t="n">
        <v>-174096774</v>
      </c>
      <c r="N65" s="23" t="n">
        <v>-165806452</v>
      </c>
      <c r="O65" s="23" t="n">
        <v>-157516129</v>
      </c>
      <c r="P65" s="23" t="n">
        <v>-149225806</v>
      </c>
      <c r="Q65" s="23" t="n">
        <v>-140935484</v>
      </c>
      <c r="R65" s="23" t="n">
        <v>-132645161</v>
      </c>
      <c r="S65" s="23" t="n">
        <v>-124354839</v>
      </c>
      <c r="T65" s="23" t="n">
        <v>-116064516</v>
      </c>
      <c r="U65" s="23" t="n">
        <v>-107774194</v>
      </c>
      <c r="V65" s="23" t="n">
        <v>-99483871</v>
      </c>
      <c r="W65" s="23" t="n">
        <v>-91193548</v>
      </c>
      <c r="X65" s="23" t="n">
        <v>-82903226</v>
      </c>
      <c r="Y65" s="23" t="n">
        <v>-74612903</v>
      </c>
      <c r="Z65" s="23" t="n">
        <v>-66322581</v>
      </c>
      <c r="AA65" s="23" t="n">
        <v>-58032258</v>
      </c>
      <c r="AB65" s="23" t="n">
        <v>-49741935</v>
      </c>
      <c r="AC65" s="23" t="n">
        <v>-41451613</v>
      </c>
      <c r="AD65" s="23" t="n">
        <v>-33161290</v>
      </c>
      <c r="AE65" s="23" t="n">
        <v>-24870968</v>
      </c>
      <c r="AF65" s="23" t="n">
        <v>-16580645</v>
      </c>
      <c r="AG65" s="23" t="n">
        <v>-8290323</v>
      </c>
      <c r="AH65" s="23" t="n">
        <v>0</v>
      </c>
      <c r="AI65" s="23" t="n">
        <v>0</v>
      </c>
      <c r="AJ65" s="23" t="n">
        <v>0</v>
      </c>
      <c r="AK65" s="23" t="n">
        <v>0</v>
      </c>
      <c r="AL65" s="23" t="n">
        <v>0</v>
      </c>
      <c r="AM65" s="23" t="n">
        <v>0</v>
      </c>
      <c r="AN65" s="23" t="n">
        <v>0</v>
      </c>
      <c r="AO65" s="23" t="n">
        <v>0</v>
      </c>
      <c r="AP65" s="23" t="n">
        <v>0</v>
      </c>
      <c r="AQ65" s="23" t="n">
        <v>0</v>
      </c>
      <c r="AR65" s="23" t="n">
        <v>0</v>
      </c>
      <c r="AS65" s="23" t="n">
        <v>0</v>
      </c>
      <c r="AT65" s="23" t="n">
        <v>0</v>
      </c>
      <c r="AU65" s="23" t="n">
        <v>0</v>
      </c>
      <c r="AV65" s="23" t="n">
        <v>0</v>
      </c>
      <c r="AW65" s="23" t="n">
        <v>0</v>
      </c>
      <c r="AX65" s="23" t="n">
        <v>0</v>
      </c>
      <c r="AY65" s="23" t="n">
        <v>0</v>
      </c>
      <c r="AZ65" s="23" t="n">
        <v>0</v>
      </c>
      <c r="BA65" s="23" t="n">
        <v>0</v>
      </c>
      <c r="BB65" s="23" t="n">
        <v>0</v>
      </c>
      <c r="BC65" s="23" t="n">
        <v>0</v>
      </c>
      <c r="BD65" s="23" t="n">
        <v>0</v>
      </c>
      <c r="BE65" s="23" t="n">
        <v>0</v>
      </c>
      <c r="BF65" s="23" t="n">
        <v>0</v>
      </c>
      <c r="BG65" s="23" t="n">
        <v>0</v>
      </c>
      <c r="BH65" s="23" t="n">
        <v>0</v>
      </c>
      <c r="BI65" s="23" t="n">
        <v>0</v>
      </c>
      <c r="BJ65" s="23" t="n">
        <v>0</v>
      </c>
      <c r="BK65" s="23" t="n">
        <v>0</v>
      </c>
      <c r="BL65" s="23" t="n">
        <v>0</v>
      </c>
      <c r="BM65" s="23" t="n">
        <v>0</v>
      </c>
      <c r="BN65" s="23" t="n">
        <v>0</v>
      </c>
      <c r="BO65" s="23" t="n">
        <v>0</v>
      </c>
      <c r="BP65" s="23" t="n">
        <v>0</v>
      </c>
      <c r="BQ65" s="23" t="n">
        <v>0</v>
      </c>
      <c r="BR65" s="23" t="n">
        <v>0</v>
      </c>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257000000</v>
      </c>
      <c r="D67" s="21" t="n">
        <v>248709677</v>
      </c>
      <c r="E67" s="21" t="n">
        <v>240419355</v>
      </c>
      <c r="F67" s="21" t="n">
        <v>232129032</v>
      </c>
      <c r="G67" s="21" t="n">
        <v>223838710</v>
      </c>
      <c r="H67" s="21" t="n">
        <v>215548387</v>
      </c>
      <c r="I67" s="21" t="n">
        <v>207258065</v>
      </c>
      <c r="J67" s="21" t="n">
        <v>198967742</v>
      </c>
      <c r="K67" s="21" t="n">
        <v>190677419</v>
      </c>
      <c r="L67" s="21" t="n">
        <v>182387097</v>
      </c>
      <c r="M67" s="21" t="n">
        <v>174096774</v>
      </c>
      <c r="N67" s="21" t="n">
        <v>165806452</v>
      </c>
      <c r="O67" s="21" t="n">
        <v>157516129</v>
      </c>
      <c r="P67" s="21" t="n">
        <v>149225806</v>
      </c>
      <c r="Q67" s="21" t="n">
        <v>140935484</v>
      </c>
      <c r="R67" s="21" t="n">
        <v>132645161</v>
      </c>
      <c r="S67" s="21" t="n">
        <v>124354839</v>
      </c>
      <c r="T67" s="21" t="n">
        <v>116064516</v>
      </c>
      <c r="U67" s="21" t="n">
        <v>107774194</v>
      </c>
      <c r="V67" s="21" t="n">
        <v>99483871</v>
      </c>
      <c r="W67" s="21" t="n">
        <v>91193548</v>
      </c>
      <c r="X67" s="21" t="n">
        <v>82903226</v>
      </c>
      <c r="Y67" s="21" t="n">
        <v>74612903</v>
      </c>
      <c r="Z67" s="21" t="n">
        <v>66322581</v>
      </c>
      <c r="AA67" s="21" t="n">
        <v>58032258</v>
      </c>
      <c r="AB67" s="21" t="n">
        <v>49741935</v>
      </c>
      <c r="AC67" s="21" t="n">
        <v>41451613</v>
      </c>
      <c r="AD67" s="21" t="n">
        <v>33161290</v>
      </c>
      <c r="AE67" s="21" t="n">
        <v>24870968</v>
      </c>
      <c r="AF67" s="21" t="n">
        <v>16580645</v>
      </c>
      <c r="AG67" s="21" t="n">
        <v>8290323</v>
      </c>
      <c r="AH67" s="21" t="n">
        <v>0</v>
      </c>
      <c r="AI67" s="21" t="n">
        <v>0</v>
      </c>
      <c r="AJ67" s="21" t="n">
        <v>0</v>
      </c>
      <c r="AK67" s="21" t="n">
        <v>0</v>
      </c>
      <c r="AL67" s="21" t="n">
        <v>0</v>
      </c>
      <c r="AM67" s="21" t="n">
        <v>0</v>
      </c>
      <c r="AN67" s="21" t="n">
        <v>0</v>
      </c>
      <c r="AO67" s="21" t="n">
        <v>0</v>
      </c>
      <c r="AP67" s="21" t="n">
        <v>0</v>
      </c>
      <c r="AQ67" s="21" t="n">
        <v>0</v>
      </c>
      <c r="AR67" s="21" t="n">
        <v>0</v>
      </c>
      <c r="AS67" s="21" t="n">
        <v>0</v>
      </c>
      <c r="AT67" s="21" t="n">
        <v>0</v>
      </c>
      <c r="AU67" s="21" t="n">
        <v>0</v>
      </c>
      <c r="AV67" s="21" t="n">
        <v>0</v>
      </c>
      <c r="AW67" s="21" t="n">
        <v>0</v>
      </c>
      <c r="AX67" s="21" t="n">
        <v>0</v>
      </c>
      <c r="AY67" s="21" t="n">
        <v>0</v>
      </c>
      <c r="AZ67" s="21" t="n">
        <v>0</v>
      </c>
      <c r="BA67" s="21" t="n">
        <v>0</v>
      </c>
      <c r="BB67" s="21" t="n">
        <v>0</v>
      </c>
      <c r="BC67" s="21" t="n">
        <v>0</v>
      </c>
      <c r="BD67" s="21" t="n">
        <v>0</v>
      </c>
      <c r="BE67" s="21" t="n">
        <v>0</v>
      </c>
      <c r="BF67" s="21" t="n">
        <v>0</v>
      </c>
      <c r="BG67" s="21" t="n">
        <v>0</v>
      </c>
      <c r="BH67" s="21" t="n">
        <v>0</v>
      </c>
      <c r="BI67" s="21" t="n">
        <v>0</v>
      </c>
      <c r="BJ67" s="21" t="n">
        <v>0</v>
      </c>
      <c r="BK67" s="21" t="n">
        <v>0</v>
      </c>
      <c r="BL67" s="21" t="n">
        <v>0</v>
      </c>
      <c r="BM67" s="21" t="n">
        <v>0</v>
      </c>
      <c r="BN67" s="21" t="n">
        <v>0</v>
      </c>
      <c r="BO67" s="21" t="n">
        <v>0</v>
      </c>
      <c r="BP67" s="21" t="n">
        <v>0</v>
      </c>
      <c r="BQ67" s="21" t="n">
        <v>0</v>
      </c>
      <c r="BR67" s="21" t="n">
        <v>0</v>
      </c>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2.18</v>
      </c>
      <c r="D91" s="21" t="n">
        <v>2.34</v>
      </c>
      <c r="E91" s="21" t="n">
        <v>2.52</v>
      </c>
      <c r="F91" s="21" t="n">
        <v>2.71</v>
      </c>
      <c r="G91" s="21" t="n">
        <v>2.92</v>
      </c>
      <c r="H91" s="21" t="n">
        <v>3.15</v>
      </c>
      <c r="I91" s="21" t="n">
        <v>3.4</v>
      </c>
      <c r="J91" s="21" t="n">
        <v>3.68</v>
      </c>
      <c r="K91" s="21" t="n">
        <v>3.98</v>
      </c>
      <c r="L91" s="21" t="n">
        <v>4.32</v>
      </c>
      <c r="M91" s="21" t="n">
        <v>4.7</v>
      </c>
      <c r="N91" s="21" t="n">
        <v>5.12</v>
      </c>
      <c r="O91" s="21" t="n">
        <v>5.59</v>
      </c>
      <c r="P91" s="21" t="n">
        <v>6.13</v>
      </c>
      <c r="Q91" s="21" t="n">
        <v>6.73</v>
      </c>
      <c r="R91" s="21" t="n">
        <v>7.42</v>
      </c>
      <c r="S91" s="21" t="n">
        <v>8.210000000000001</v>
      </c>
      <c r="T91" s="21" t="n">
        <v>9.119999999999999</v>
      </c>
      <c r="U91" s="21" t="n">
        <v>10.18</v>
      </c>
      <c r="V91" s="21" t="n">
        <v>11.44</v>
      </c>
      <c r="W91" s="21" t="n">
        <v>12.93</v>
      </c>
      <c r="X91" s="21" t="n">
        <v>14.75</v>
      </c>
      <c r="Y91" s="21" t="n">
        <v>16.99</v>
      </c>
      <c r="Z91" s="21" t="n">
        <v>19.8</v>
      </c>
      <c r="AA91" s="21" t="n">
        <v>23.46</v>
      </c>
      <c r="AB91" s="21" t="n">
        <v>28.35</v>
      </c>
      <c r="AC91" s="21" t="n">
        <v>35.25</v>
      </c>
      <c r="AD91" s="21" t="n">
        <v>45.66</v>
      </c>
      <c r="AE91" s="21" t="n">
        <v>63.06</v>
      </c>
      <c r="AF91" s="21" t="n">
        <v>97.98</v>
      </c>
      <c r="AG91" s="21" t="n">
        <v>202.96</v>
      </c>
      <c r="AH91" s="21" t="n">
        <v>99.98999999999999</v>
      </c>
      <c r="AI91" s="21" t="n">
        <v>99.98999999999999</v>
      </c>
      <c r="AJ91" s="21" t="n">
        <v>99.98999999999999</v>
      </c>
      <c r="AK91" s="21" t="n">
        <v>99.98999999999999</v>
      </c>
      <c r="AL91" s="21" t="n">
        <v>99.98999999999999</v>
      </c>
      <c r="AM91" s="21" t="n">
        <v>99.98999999999999</v>
      </c>
      <c r="AN91" s="21" t="n">
        <v>99.98999999999999</v>
      </c>
      <c r="AO91" s="21" t="n">
        <v>99.98999999999999</v>
      </c>
      <c r="AP91" s="21" t="n">
        <v>99.98999999999999</v>
      </c>
      <c r="AQ91" s="21" t="n">
        <v>99.98999999999999</v>
      </c>
      <c r="AR91" s="21" t="n">
        <v>99.98999999999999</v>
      </c>
      <c r="AS91" s="21" t="n">
        <v>99.98999999999999</v>
      </c>
      <c r="AT91" s="21" t="n">
        <v>99.98999999999999</v>
      </c>
      <c r="AU91" s="21" t="n">
        <v>99.98999999999999</v>
      </c>
      <c r="AV91" s="21" t="n">
        <v>99.98999999999999</v>
      </c>
      <c r="AW91" s="21" t="n">
        <v>99.98999999999999</v>
      </c>
      <c r="AX91" s="21" t="n">
        <v>99.98999999999999</v>
      </c>
      <c r="AY91" s="21" t="n">
        <v>99.98999999999999</v>
      </c>
      <c r="AZ91" s="21" t="n">
        <v>99.98999999999999</v>
      </c>
      <c r="BA91" s="21" t="n">
        <v>99.98999999999999</v>
      </c>
      <c r="BB91" s="21" t="n">
        <v>99.98999999999999</v>
      </c>
      <c r="BC91" s="21" t="n">
        <v>99.98999999999999</v>
      </c>
      <c r="BD91" s="21" t="n">
        <v>99.98999999999999</v>
      </c>
      <c r="BE91" s="21" t="n">
        <v>99.98999999999999</v>
      </c>
      <c r="BF91" s="21" t="n">
        <v>99.98999999999999</v>
      </c>
      <c r="BG91" s="21" t="n">
        <v>99.98999999999999</v>
      </c>
      <c r="BH91" s="21" t="n">
        <v>99.98999999999999</v>
      </c>
      <c r="BI91" s="21" t="n">
        <v>99.98999999999999</v>
      </c>
      <c r="BJ91" s="21" t="n">
        <v>99.98999999999999</v>
      </c>
      <c r="BK91" s="21" t="n">
        <v>99.98999999999999</v>
      </c>
      <c r="BL91" s="21" t="n">
        <v>99.98999999999999</v>
      </c>
      <c r="BM91" s="21" t="n">
        <v>99.98999999999999</v>
      </c>
      <c r="BN91" s="21" t="n">
        <v>99.98999999999999</v>
      </c>
      <c r="BO91" s="21" t="n">
        <v>99.98999999999999</v>
      </c>
      <c r="BP91" s="21" t="n">
        <v>99.98999999999999</v>
      </c>
      <c r="BQ91" s="21" t="n">
        <v>99.98999999999999</v>
      </c>
      <c r="BR91" s="21" t="n">
        <v>99.98999999999999</v>
      </c>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6.96</v>
      </c>
      <c r="D93" s="21" t="n">
        <v>6.48</v>
      </c>
      <c r="E93" s="21" t="n">
        <v>6.03</v>
      </c>
      <c r="F93" s="21" t="n">
        <v>5.6</v>
      </c>
      <c r="G93" s="21" t="n">
        <v>5.2</v>
      </c>
      <c r="H93" s="21" t="n">
        <v>4.82</v>
      </c>
      <c r="I93" s="21" t="n">
        <v>4.47</v>
      </c>
      <c r="J93" s="21" t="n">
        <v>4.13</v>
      </c>
      <c r="K93" s="21" t="n">
        <v>3.81</v>
      </c>
      <c r="L93" s="21" t="n">
        <v>3.51</v>
      </c>
      <c r="M93" s="21" t="n">
        <v>3.23</v>
      </c>
      <c r="N93" s="21" t="n">
        <v>2.96</v>
      </c>
      <c r="O93" s="21" t="n">
        <v>2.71</v>
      </c>
      <c r="P93" s="21" t="n">
        <v>2.48</v>
      </c>
      <c r="Q93" s="21" t="n">
        <v>2.25</v>
      </c>
      <c r="R93" s="21" t="n">
        <v>2.05</v>
      </c>
      <c r="S93" s="21" t="n">
        <v>1.85</v>
      </c>
      <c r="T93" s="21" t="n">
        <v>1.66</v>
      </c>
      <c r="U93" s="21" t="n">
        <v>1.49</v>
      </c>
      <c r="V93" s="21" t="n">
        <v>1.33</v>
      </c>
      <c r="W93" s="21" t="n">
        <v>1.17</v>
      </c>
      <c r="X93" s="21" t="n">
        <v>1.03</v>
      </c>
      <c r="Y93" s="21" t="n">
        <v>0.89</v>
      </c>
      <c r="Z93" s="21" t="n">
        <v>0.77</v>
      </c>
      <c r="AA93" s="21" t="n">
        <v>0.65</v>
      </c>
      <c r="AB93" s="21" t="n">
        <v>0.54</v>
      </c>
      <c r="AC93" s="21" t="n">
        <v>0.43</v>
      </c>
      <c r="AD93" s="21" t="n">
        <v>0.33</v>
      </c>
      <c r="AE93" s="21" t="n">
        <v>0.24</v>
      </c>
      <c r="AF93" s="21" t="n">
        <v>0.15</v>
      </c>
      <c r="AG93" s="21" t="n">
        <v>0.07000000000000001</v>
      </c>
      <c r="AH93" s="21" t="n">
        <v>0</v>
      </c>
      <c r="AI93" s="21" t="n">
        <v>0</v>
      </c>
      <c r="AJ93" s="21" t="n">
        <v>0</v>
      </c>
      <c r="AK93" s="21" t="n">
        <v>0</v>
      </c>
      <c r="AL93" s="21" t="n">
        <v>0</v>
      </c>
      <c r="AM93" s="21" t="n">
        <v>0</v>
      </c>
      <c r="AN93" s="21" t="n">
        <v>0</v>
      </c>
      <c r="AO93" s="21" t="n">
        <v>0</v>
      </c>
      <c r="AP93" s="21" t="n">
        <v>0</v>
      </c>
      <c r="AQ93" s="21" t="n">
        <v>0</v>
      </c>
      <c r="AR93" s="21" t="n">
        <v>0</v>
      </c>
      <c r="AS93" s="21" t="n">
        <v>0</v>
      </c>
      <c r="AT93" s="21" t="n">
        <v>0</v>
      </c>
      <c r="AU93" s="21" t="n">
        <v>0</v>
      </c>
      <c r="AV93" s="21" t="n">
        <v>0</v>
      </c>
      <c r="AW93" s="21" t="n">
        <v>0</v>
      </c>
      <c r="AX93" s="21" t="n">
        <v>0</v>
      </c>
      <c r="AY93" s="21" t="n">
        <v>0</v>
      </c>
      <c r="AZ93" s="21" t="n">
        <v>0</v>
      </c>
      <c r="BA93" s="21" t="n">
        <v>0</v>
      </c>
      <c r="BB93" s="21" t="n">
        <v>0</v>
      </c>
      <c r="BC93" s="21" t="n">
        <v>0</v>
      </c>
      <c r="BD93" s="21" t="n">
        <v>0</v>
      </c>
      <c r="BE93" s="21" t="n">
        <v>0</v>
      </c>
      <c r="BF93" s="21" t="n">
        <v>0</v>
      </c>
      <c r="BG93" s="21" t="n">
        <v>0</v>
      </c>
      <c r="BH93" s="21" t="n">
        <v>0</v>
      </c>
      <c r="BI93" s="21" t="n">
        <v>0</v>
      </c>
      <c r="BJ93" s="21" t="n">
        <v>0</v>
      </c>
      <c r="BK93" s="21" t="n">
        <v>0</v>
      </c>
      <c r="BL93" s="21" t="n">
        <v>0</v>
      </c>
      <c r="BM93" s="21" t="n">
        <v>0</v>
      </c>
      <c r="BN93" s="21" t="n">
        <v>0</v>
      </c>
      <c r="BO93" s="21" t="n">
        <v>0</v>
      </c>
      <c r="BP93" s="21" t="n">
        <v>0</v>
      </c>
      <c r="BQ93" s="21" t="n">
        <v>0</v>
      </c>
      <c r="BR93" s="21" t="n">
        <v>0</v>
      </c>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68</v>
      </c>
      <c r="D99" s="23" t="n">
        <v>67</v>
      </c>
      <c r="E99" s="23" t="n">
        <v>66</v>
      </c>
      <c r="F99" s="23" t="n">
        <v>65</v>
      </c>
      <c r="G99" s="23" t="n">
        <v>64</v>
      </c>
      <c r="H99" s="23" t="n">
        <v>63</v>
      </c>
      <c r="I99" s="23" t="n">
        <v>62</v>
      </c>
      <c r="J99" s="23" t="n">
        <v>61</v>
      </c>
      <c r="K99" s="23" t="n">
        <v>60</v>
      </c>
      <c r="L99" s="23" t="n">
        <v>59</v>
      </c>
      <c r="M99" s="23" t="n">
        <v>58</v>
      </c>
      <c r="N99" s="23" t="n">
        <v>57</v>
      </c>
      <c r="O99" s="23" t="n">
        <v>56</v>
      </c>
      <c r="P99" s="23" t="n">
        <v>55</v>
      </c>
      <c r="Q99" s="23" t="n">
        <v>54</v>
      </c>
      <c r="R99" s="23" t="n">
        <v>53</v>
      </c>
      <c r="S99" s="23" t="n">
        <v>52</v>
      </c>
      <c r="T99" s="23" t="n">
        <v>51</v>
      </c>
      <c r="U99" s="23" t="n">
        <v>50</v>
      </c>
      <c r="V99" s="23" t="n">
        <v>49</v>
      </c>
      <c r="W99" s="23" t="n">
        <v>48</v>
      </c>
      <c r="X99" s="23" t="n">
        <v>47</v>
      </c>
      <c r="Y99" s="23" t="n">
        <v>46</v>
      </c>
      <c r="Z99" s="23" t="n">
        <v>45</v>
      </c>
      <c r="AA99" s="23" t="n">
        <v>44</v>
      </c>
      <c r="AB99" s="23" t="n">
        <v>43</v>
      </c>
      <c r="AC99" s="23" t="n">
        <v>42</v>
      </c>
      <c r="AD99" s="23" t="n">
        <v>41</v>
      </c>
      <c r="AE99" s="23" t="n">
        <v>40</v>
      </c>
      <c r="AF99" s="23" t="n">
        <v>39</v>
      </c>
      <c r="AG99" s="23" t="n">
        <v>38</v>
      </c>
      <c r="AH99" s="23" t="n">
        <v>37</v>
      </c>
      <c r="AI99" s="23" t="n">
        <v>36</v>
      </c>
      <c r="AJ99" s="23" t="n">
        <v>35</v>
      </c>
      <c r="AK99" s="23" t="n">
        <v>34</v>
      </c>
      <c r="AL99" s="23" t="n">
        <v>33</v>
      </c>
      <c r="AM99" s="23" t="n">
        <v>32</v>
      </c>
      <c r="AN99" s="23" t="n">
        <v>31</v>
      </c>
      <c r="AO99" s="23" t="n">
        <v>30</v>
      </c>
      <c r="AP99" s="23" t="n">
        <v>29</v>
      </c>
      <c r="AQ99" s="23" t="n">
        <v>28</v>
      </c>
      <c r="AR99" s="23" t="n">
        <v>27</v>
      </c>
      <c r="AS99" s="23" t="n">
        <v>26</v>
      </c>
      <c r="AT99" s="23" t="n">
        <v>25</v>
      </c>
      <c r="AU99" s="23" t="n">
        <v>24</v>
      </c>
      <c r="AV99" s="23" t="n">
        <v>23</v>
      </c>
      <c r="AW99" s="23" t="n">
        <v>22</v>
      </c>
      <c r="AX99" s="23" t="n">
        <v>21</v>
      </c>
      <c r="AY99" s="23" t="n">
        <v>20</v>
      </c>
      <c r="AZ99" s="23" t="n">
        <v>19</v>
      </c>
      <c r="BA99" s="23" t="n">
        <v>18</v>
      </c>
      <c r="BB99" s="23" t="n">
        <v>17</v>
      </c>
      <c r="BC99" s="23" t="n">
        <v>16</v>
      </c>
      <c r="BD99" s="23" t="n">
        <v>15</v>
      </c>
      <c r="BE99" s="23" t="n">
        <v>14</v>
      </c>
      <c r="BF99" s="23" t="n">
        <v>13</v>
      </c>
      <c r="BG99" s="23" t="n">
        <v>12</v>
      </c>
      <c r="BH99" s="23" t="n">
        <v>11</v>
      </c>
      <c r="BI99" s="23" t="n">
        <v>10</v>
      </c>
      <c r="BJ99" s="23" t="n">
        <v>9</v>
      </c>
      <c r="BK99" s="23" t="n">
        <v>8</v>
      </c>
      <c r="BL99" s="23" t="n">
        <v>7</v>
      </c>
      <c r="BM99" s="23" t="n">
        <v>6</v>
      </c>
      <c r="BN99" s="23" t="n">
        <v>5</v>
      </c>
      <c r="BO99" s="23" t="n">
        <v>4</v>
      </c>
      <c r="BP99" s="23" t="n">
        <v>3</v>
      </c>
      <c r="BQ99" s="23" t="n">
        <v>2</v>
      </c>
      <c r="BR99" s="23" t="n">
        <v>1</v>
      </c>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ACTUAL REPORTED DATA — From compliance certificates and financial statements.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1085000000</v>
      </c>
      <c r="D4" s="21" t="n">
        <v>816000000</v>
      </c>
      <c r="E4" s="21" t="n">
        <v>774000000</v>
      </c>
      <c r="F4" s="21" t="n">
        <v>1606000000</v>
      </c>
      <c r="G4" s="21" t="n">
        <v>1829000000</v>
      </c>
      <c r="H4" s="21" t="n">
        <v>1614000000</v>
      </c>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958000000</v>
      </c>
      <c r="D5" s="23" t="n">
        <v>692000000</v>
      </c>
      <c r="E5" s="23" t="n">
        <v>644000000</v>
      </c>
      <c r="F5" s="23" t="n">
        <v>1049000000</v>
      </c>
      <c r="G5" s="23" t="n">
        <v>1121000000</v>
      </c>
      <c r="H5" s="23" t="n">
        <v>1166000000</v>
      </c>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v>420000000</v>
      </c>
      <c r="G6" s="23" t="n">
        <v>558000000</v>
      </c>
      <c r="H6" s="23" t="n">
        <v>280000000</v>
      </c>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v>126000000</v>
      </c>
      <c r="D7" s="23" t="n">
        <v>123000000</v>
      </c>
      <c r="E7" s="23" t="n">
        <v>130000000</v>
      </c>
      <c r="F7" s="23" t="n">
        <v>137000000</v>
      </c>
      <c r="G7" s="23" t="n">
        <v>150000000</v>
      </c>
      <c r="H7" s="23" t="n">
        <v>168000000</v>
      </c>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-525000000</v>
      </c>
      <c r="D14" s="21" t="n">
        <v>-488000000</v>
      </c>
      <c r="E14" s="21" t="n">
        <v>-481000000</v>
      </c>
      <c r="F14" s="21" t="n">
        <v>-720000000</v>
      </c>
      <c r="G14" s="21" t="n">
        <v>-850000000</v>
      </c>
      <c r="H14" s="21" t="n">
        <v>-781000000</v>
      </c>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-406000000</v>
      </c>
      <c r="D15" s="23" t="n">
        <v>-377000000</v>
      </c>
      <c r="E15" s="23" t="n">
        <v>-378000000</v>
      </c>
      <c r="F15" s="23" t="n">
        <v>-456000000</v>
      </c>
      <c r="G15" s="23" t="n">
        <v>-539000000</v>
      </c>
      <c r="H15" s="23" t="n">
        <v>-524000000</v>
      </c>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v>-1000000</v>
      </c>
      <c r="E16" s="23" t="n">
        <v>-1000000</v>
      </c>
      <c r="F16" s="23" t="n">
        <v>-156000000</v>
      </c>
      <c r="G16" s="23" t="n">
        <v>-190000000</v>
      </c>
      <c r="H16" s="23" t="n">
        <v>-121000000</v>
      </c>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-102000000</v>
      </c>
      <c r="D17" s="23" t="n">
        <v>-95000000</v>
      </c>
      <c r="E17" s="23" t="n">
        <v>-102000000</v>
      </c>
      <c r="F17" s="23" t="n">
        <v>-108000000</v>
      </c>
      <c r="G17" s="23" t="n">
        <v>-121000000</v>
      </c>
      <c r="H17" s="23" t="n">
        <v>-136000000</v>
      </c>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560000000</v>
      </c>
      <c r="D29" s="21" t="n">
        <v>328000000</v>
      </c>
      <c r="E29" s="21" t="n">
        <v>297000000</v>
      </c>
      <c r="F29" s="21" t="n">
        <v>886000000</v>
      </c>
      <c r="G29" s="21" t="n">
        <v>979000000</v>
      </c>
      <c r="H29" s="21" t="n">
        <v>833000000</v>
      </c>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560000000</v>
      </c>
      <c r="D63" s="21" t="n">
        <v>328000000</v>
      </c>
      <c r="E63" s="21" t="n">
        <v>297000000</v>
      </c>
      <c r="F63" s="21" t="n">
        <v>886000000</v>
      </c>
      <c r="G63" s="21" t="n">
        <v>979000000</v>
      </c>
      <c r="H63" s="21" t="n">
        <v>833000000</v>
      </c>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-257000000</v>
      </c>
      <c r="D65" s="23" t="n">
        <v>-240000000</v>
      </c>
      <c r="E65" s="23" t="n">
        <v>-308000000</v>
      </c>
      <c r="F65" s="23" t="n">
        <v>-445000000</v>
      </c>
      <c r="G65" s="23" t="n">
        <v>-320000000</v>
      </c>
      <c r="H65" s="23" t="n">
        <v>-253000000</v>
      </c>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257000000</v>
      </c>
      <c r="D67" s="21" t="n">
        <v>240000000</v>
      </c>
      <c r="E67" s="21" t="n">
        <v>308000000</v>
      </c>
      <c r="F67" s="21" t="n">
        <v>445000000</v>
      </c>
      <c r="G67" s="21" t="n">
        <v>320000000</v>
      </c>
      <c r="H67" s="21" t="n">
        <v>253000000</v>
      </c>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2.18</v>
      </c>
      <c r="D91" s="21" t="n">
        <v>1.37</v>
      </c>
      <c r="E91" s="21" t="n">
        <v>0.96</v>
      </c>
      <c r="F91" s="21" t="n">
        <v>1.99</v>
      </c>
      <c r="G91" s="21" t="n">
        <v>3.06</v>
      </c>
      <c r="H91" s="21" t="n">
        <v>3.29</v>
      </c>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6.96</v>
      </c>
      <c r="D93" s="21" t="n">
        <v>12.5</v>
      </c>
      <c r="E93" s="21" t="n">
        <v>14.14</v>
      </c>
      <c r="F93" s="21" t="n">
        <v>4.51</v>
      </c>
      <c r="G93" s="21" t="n">
        <v>3.71</v>
      </c>
      <c r="H93" s="21" t="n">
        <v>4.29</v>
      </c>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1627000</v>
      </c>
      <c r="D96" s="23" t="n">
        <v>1400000</v>
      </c>
      <c r="E96" s="23" t="n">
        <v>1400000</v>
      </c>
      <c r="F96" s="23" t="n">
        <v>1400000</v>
      </c>
      <c r="G96" s="23" t="n">
        <v>1206754</v>
      </c>
      <c r="H96" s="23" t="n">
        <v>1198052</v>
      </c>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2592000</v>
      </c>
      <c r="D97" s="23" t="n">
        <v>1400000</v>
      </c>
      <c r="E97" s="23" t="n">
        <v>1700000</v>
      </c>
      <c r="F97" s="23" t="n">
        <v>2000000</v>
      </c>
      <c r="G97" s="23" t="n">
        <v>2236713</v>
      </c>
      <c r="H97" s="23" t="n">
        <v>2187146</v>
      </c>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11</v>
      </c>
      <c r="D98" s="23" t="n">
        <v>2.5</v>
      </c>
      <c r="E98" s="23" t="n">
        <v>3.5</v>
      </c>
      <c r="F98" s="23" t="n">
        <v>8.5</v>
      </c>
      <c r="G98" s="23" t="n">
        <v>10.7</v>
      </c>
      <c r="H98" s="23" t="n">
        <v>11.2</v>
      </c>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67</v>
      </c>
      <c r="D99" s="23" t="n">
        <v>66</v>
      </c>
      <c r="E99" s="23" t="n">
        <v>65</v>
      </c>
      <c r="F99" s="23" t="n">
        <v>64</v>
      </c>
      <c r="G99" s="23" t="n">
        <v>63</v>
      </c>
      <c r="H99" s="23" t="n">
        <v>62</v>
      </c>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249"/>
  <sheetViews>
    <sheetView workbookViewId="0">
      <pane ySplit="3" topLeftCell="A4" activePane="bottomLeft" state="frozen"/>
      <selection pane="bottomLeft" activeCell="A1" sqref="A1"/>
    </sheetView>
  </sheetViews>
  <sheetFormatPr baseColWidth="8" defaultRowHeight="15"/>
  <cols>
    <col width="14" customWidth="1" min="1" max="1"/>
    <col width="25" customWidth="1" min="2" max="2"/>
    <col width="22" customWidth="1" min="3" max="3"/>
    <col width="40" customWidth="1" min="4" max="4"/>
    <col width="12" customWidth="1" min="5" max="5"/>
    <col width="12" customWidth="1" min="6" max="6"/>
    <col width="10" customWidth="1" min="7" max="7"/>
    <col width="12" customWidth="1" min="8" max="8"/>
    <col width="20" customWidth="1" min="9" max="9"/>
    <col width="35" customWidth="1" min="10" max="10"/>
    <col width="20" customWidth="1" min="11" max="11"/>
    <col width="25" customWidth="1" min="12" max="12"/>
  </cols>
  <sheetData>
    <row r="1" ht="35" customHeight="1">
      <c r="A1" s="11" t="inlineStr">
        <is>
          <t>KEY RISKS — Record the main risks as you see them. You do not need to complete all 236 taxonomy items. Focus on the risks that matter most for this deal.</t>
        </is>
      </c>
    </row>
    <row r="2">
      <c r="A2" s="3" t="inlineStr">
        <is>
          <t>Risk ID</t>
        </is>
      </c>
      <c r="B2" s="3" t="inlineStr">
        <is>
          <t>Risk Name</t>
        </is>
      </c>
      <c r="C2" s="3" t="inlineStr">
        <is>
          <t>Category</t>
        </is>
      </c>
      <c r="D2" s="3" t="inlineStr">
        <is>
          <t>Description</t>
        </is>
      </c>
      <c r="E2" s="3" t="inlineStr">
        <is>
          <t>Likelihood (1-5)</t>
        </is>
      </c>
      <c r="F2" s="3" t="inlineStr">
        <is>
          <t>Severity (1-6)</t>
        </is>
      </c>
      <c r="G2" s="3" t="inlineStr">
        <is>
          <t>Risk Score</t>
        </is>
      </c>
      <c r="H2" s="3" t="inlineStr">
        <is>
          <t>Trend</t>
        </is>
      </c>
      <c r="I2" s="3" t="inlineStr">
        <is>
          <t>Mitigation Party</t>
        </is>
      </c>
      <c r="J2" s="3" t="inlineStr">
        <is>
          <t>Mitigation Detail</t>
        </is>
      </c>
      <c r="K2" s="3" t="inlineStr">
        <is>
          <t>Capital at Risk</t>
        </is>
      </c>
      <c r="L2" s="3" t="inlineStr">
        <is>
          <t>Monitoring KPI</t>
        </is>
      </c>
    </row>
    <row r="3" ht="45" customHeight="1">
      <c r="A3" s="8" t="inlineStr">
        <is>
          <t>From taxonomy (e.g. RISK-MK-024) or custom</t>
        </is>
      </c>
      <c r="B3" s="8" t="inlineStr">
        <is>
          <t>Short name</t>
        </is>
      </c>
      <c r="C3" s="8" t="inlineStr">
        <is>
          <t>Credit &amp; Financial, Structural, Operational, Market &amp; Macro, Regulatory, ESG, Sector-Specific</t>
        </is>
      </c>
      <c r="D3" s="8" t="inlineStr">
        <is>
          <t>What is the risk and how does it apply to this deal?</t>
        </is>
      </c>
      <c r="E3" s="8" t="inlineStr">
        <is>
          <t>1=Remote, 2=Unlikely, 3=Possible, 4=Likely, 5=Almost Certain</t>
        </is>
      </c>
      <c r="F3" s="8" t="inlineStr">
        <is>
          <t>1=Negligible, 2=Low, 3=Moderate, 4=High, 5=Critical, 6=Fatal</t>
        </is>
      </c>
      <c r="G3" s="8" t="inlineStr">
        <is>
          <t>Likelihood x Severity (auto or manual)</t>
        </is>
      </c>
      <c r="H3" s="8" t="inlineStr">
        <is>
          <t>improving, stable, deteriorating</t>
        </is>
      </c>
      <c r="I3" s="8" t="inlineStr">
        <is>
          <t>M1=None, M2=Reputational, M3=Contractual, M4=Insured, M5=Guaranteed</t>
        </is>
      </c>
      <c r="J3" s="8" t="inlineStr">
        <is>
          <t>Who mitigates and how?</t>
        </is>
      </c>
      <c r="K3" s="8" t="inlineStr">
        <is>
          <t>C1=None, C2=Comfort, C3=Reserve, C4=Funded, C5=Overcollateralised</t>
        </is>
      </c>
      <c r="L3" s="8" t="inlineStr">
        <is>
          <t>KPI to watch for early warning</t>
        </is>
      </c>
    </row>
    <row r="4">
      <c r="A4" s="7" t="n"/>
      <c r="B4" s="7" t="n"/>
      <c r="C4" s="7" t="n"/>
      <c r="D4" s="7" t="n"/>
      <c r="E4" s="7" t="n"/>
      <c r="F4" s="7" t="n"/>
      <c r="G4" s="24">
        <f>IF(AND(E4&lt;&gt;"",F4&lt;&gt;""),E4*F4,"")</f>
        <v/>
      </c>
      <c r="H4" s="7" t="inlineStr">
        <is>
          <t>new</t>
        </is>
      </c>
      <c r="I4" s="7" t="n"/>
      <c r="J4" s="7" t="n"/>
      <c r="K4" s="7" t="n"/>
      <c r="L4" s="7" t="n"/>
    </row>
    <row r="5">
      <c r="A5" s="7" t="n"/>
      <c r="B5" s="7" t="n"/>
      <c r="C5" s="7" t="n"/>
      <c r="D5" s="7" t="n"/>
      <c r="E5" s="7" t="n">
        <v>3</v>
      </c>
      <c r="F5" s="7" t="n">
        <v>4</v>
      </c>
      <c r="G5" s="24">
        <f>IF(AND(E5&lt;&gt;"",F5&lt;&gt;""),E5*F5,"")</f>
        <v/>
      </c>
      <c r="H5" s="7" t="inlineStr">
        <is>
          <t>stable</t>
        </is>
      </c>
      <c r="I5" s="7" t="n"/>
      <c r="J5" s="7" t="n"/>
      <c r="K5" s="7" t="n"/>
      <c r="L5" s="7" t="n"/>
    </row>
    <row r="6">
      <c r="A6" s="7" t="n"/>
      <c r="B6" s="7" t="n"/>
      <c r="C6" s="7" t="n"/>
      <c r="D6" s="7" t="n"/>
      <c r="E6" s="7" t="n"/>
      <c r="F6" s="7" t="n"/>
      <c r="G6" s="24">
        <f>IF(AND(E6&lt;&gt;"",F6&lt;&gt;""),E6*F6,"")</f>
        <v/>
      </c>
      <c r="H6" s="7" t="inlineStr">
        <is>
          <t>new</t>
        </is>
      </c>
      <c r="I6" s="7" t="n"/>
      <c r="J6" s="7" t="n"/>
      <c r="K6" s="7" t="n"/>
      <c r="L6" s="7" t="n"/>
    </row>
    <row r="7">
      <c r="A7" s="7" t="n"/>
      <c r="B7" s="7" t="n"/>
      <c r="C7" s="7" t="n"/>
      <c r="D7" s="7" t="n"/>
      <c r="E7" s="7" t="n"/>
      <c r="F7" s="7" t="n"/>
      <c r="G7" s="24">
        <f>IF(AND(E7&lt;&gt;"",F7&lt;&gt;""),E7*F7,"")</f>
        <v/>
      </c>
      <c r="H7" s="7" t="inlineStr">
        <is>
          <t>new</t>
        </is>
      </c>
      <c r="I7" s="7" t="n"/>
      <c r="J7" s="7" t="n"/>
      <c r="K7" s="7" t="n"/>
      <c r="L7" s="7" t="n"/>
    </row>
    <row r="8">
      <c r="A8" s="7" t="n"/>
      <c r="B8" s="7" t="n"/>
      <c r="C8" s="7" t="n"/>
      <c r="D8" s="7" t="n"/>
      <c r="E8" s="7" t="n"/>
      <c r="F8" s="7" t="n"/>
      <c r="G8" s="24">
        <f>IF(AND(E8&lt;&gt;"",F8&lt;&gt;""),E8*F8,"")</f>
        <v/>
      </c>
      <c r="H8" s="7" t="inlineStr">
        <is>
          <t>new</t>
        </is>
      </c>
      <c r="I8" s="7" t="n"/>
      <c r="J8" s="7" t="n"/>
      <c r="K8" s="7" t="n"/>
      <c r="L8" s="7" t="n"/>
    </row>
    <row r="9">
      <c r="A9" s="7" t="n"/>
      <c r="B9" s="7" t="n"/>
      <c r="C9" s="7" t="n"/>
      <c r="D9" s="7" t="n"/>
      <c r="E9" s="7" t="n"/>
      <c r="F9" s="7" t="n"/>
      <c r="G9" s="24">
        <f>IF(AND(E9&lt;&gt;"",F9&lt;&gt;""),E9*F9,"")</f>
        <v/>
      </c>
      <c r="H9" s="7" t="inlineStr">
        <is>
          <t>new</t>
        </is>
      </c>
      <c r="I9" s="7" t="n"/>
      <c r="J9" s="7" t="n"/>
      <c r="K9" s="7" t="n"/>
      <c r="L9" s="7" t="n"/>
    </row>
    <row r="10">
      <c r="A10" s="7" t="n"/>
      <c r="B10" s="7" t="n"/>
      <c r="C10" s="7" t="n"/>
      <c r="D10" s="7" t="n"/>
      <c r="E10" s="7" t="n">
        <v>2</v>
      </c>
      <c r="F10" s="7" t="n">
        <v>3</v>
      </c>
      <c r="G10" s="24">
        <f>IF(AND(E10&lt;&gt;"",F10&lt;&gt;""),E10*F10,"")</f>
        <v/>
      </c>
      <c r="H10" s="7" t="inlineStr">
        <is>
          <t>stable</t>
        </is>
      </c>
      <c r="I10" s="7" t="n"/>
      <c r="J10" s="7" t="n"/>
      <c r="K10" s="7" t="n"/>
      <c r="L10" s="7" t="n"/>
    </row>
    <row r="11">
      <c r="A11" s="7" t="n"/>
      <c r="B11" s="7" t="n"/>
      <c r="C11" s="7" t="n"/>
      <c r="D11" s="7" t="n"/>
      <c r="E11" s="7" t="n"/>
      <c r="F11" s="7" t="n"/>
      <c r="G11" s="24">
        <f>IF(AND(E11&lt;&gt;"",F11&lt;&gt;""),E11*F11,"")</f>
        <v/>
      </c>
      <c r="H11" s="7" t="inlineStr">
        <is>
          <t>new</t>
        </is>
      </c>
      <c r="I11" s="7" t="n"/>
      <c r="J11" s="7" t="n"/>
      <c r="K11" s="7" t="n"/>
      <c r="L11" s="7" t="n"/>
    </row>
    <row r="12">
      <c r="A12" s="7" t="n"/>
      <c r="B12" s="7" t="n"/>
      <c r="C12" s="7" t="n"/>
      <c r="D12" s="7" t="n"/>
      <c r="E12" s="7" t="n"/>
      <c r="F12" s="7" t="n"/>
      <c r="G12" s="24">
        <f>IF(AND(E12&lt;&gt;"",F12&lt;&gt;""),E12*F12,"")</f>
        <v/>
      </c>
      <c r="H12" s="7" t="inlineStr">
        <is>
          <t>new</t>
        </is>
      </c>
      <c r="I12" s="7" t="n"/>
      <c r="J12" s="7" t="n"/>
      <c r="K12" s="7" t="n"/>
      <c r="L12" s="7" t="n"/>
    </row>
    <row r="13">
      <c r="A13" s="7" t="n"/>
      <c r="B13" s="7" t="n"/>
      <c r="C13" s="7" t="n"/>
      <c r="D13" s="7" t="n"/>
      <c r="E13" s="7" t="n">
        <v>3</v>
      </c>
      <c r="F13" s="7" t="n">
        <v>3</v>
      </c>
      <c r="G13" s="24">
        <f>IF(AND(E13&lt;&gt;"",F13&lt;&gt;""),E13*F13,"")</f>
        <v/>
      </c>
      <c r="H13" s="7" t="inlineStr">
        <is>
          <t>stable</t>
        </is>
      </c>
      <c r="I13" s="7" t="n"/>
      <c r="J13" s="7" t="n"/>
      <c r="K13" s="7" t="n"/>
      <c r="L13" s="7" t="n"/>
    </row>
    <row r="14">
      <c r="A14" s="7" t="n"/>
      <c r="B14" s="7" t="n"/>
      <c r="C14" s="7" t="n"/>
      <c r="D14" s="7" t="n"/>
      <c r="E14" s="7" t="n"/>
      <c r="F14" s="7" t="n"/>
      <c r="G14" s="24">
        <f>IF(AND(E14&lt;&gt;"",F14&lt;&gt;""),E14*F14,"")</f>
        <v/>
      </c>
      <c r="H14" s="7" t="inlineStr">
        <is>
          <t>new</t>
        </is>
      </c>
      <c r="I14" s="7" t="n"/>
      <c r="J14" s="7" t="n"/>
      <c r="K14" s="7" t="n"/>
      <c r="L14" s="7" t="n"/>
    </row>
    <row r="15">
      <c r="A15" s="7" t="n"/>
      <c r="B15" s="7" t="n"/>
      <c r="C15" s="7" t="n"/>
      <c r="D15" s="7" t="n"/>
      <c r="E15" s="7" t="n"/>
      <c r="F15" s="7" t="n"/>
      <c r="G15" s="24">
        <f>IF(AND(E15&lt;&gt;"",F15&lt;&gt;""),E15*F15,"")</f>
        <v/>
      </c>
      <c r="H15" s="7" t="inlineStr">
        <is>
          <t>new</t>
        </is>
      </c>
      <c r="I15" s="7" t="n"/>
      <c r="J15" s="7" t="n"/>
      <c r="K15" s="7" t="n"/>
      <c r="L15" s="7" t="n"/>
    </row>
    <row r="16">
      <c r="A16" s="7" t="n"/>
      <c r="B16" s="7" t="n"/>
      <c r="C16" s="7" t="n"/>
      <c r="D16" s="7" t="n"/>
      <c r="E16" s="7" t="n"/>
      <c r="F16" s="7" t="n"/>
      <c r="G16" s="24">
        <f>IF(AND(E16&lt;&gt;"",F16&lt;&gt;""),E16*F16,"")</f>
        <v/>
      </c>
      <c r="H16" s="7" t="inlineStr">
        <is>
          <t>new</t>
        </is>
      </c>
      <c r="I16" s="7" t="n"/>
      <c r="J16" s="7" t="n"/>
      <c r="K16" s="7" t="n"/>
      <c r="L16" s="7" t="n"/>
    </row>
    <row r="17">
      <c r="A17" s="7" t="n"/>
      <c r="B17" s="7" t="n"/>
      <c r="C17" s="7" t="n"/>
      <c r="D17" s="7" t="n"/>
      <c r="E17" s="7" t="n"/>
      <c r="F17" s="7" t="n"/>
      <c r="G17" s="24">
        <f>IF(AND(E17&lt;&gt;"",F17&lt;&gt;""),E17*F17,"")</f>
        <v/>
      </c>
      <c r="H17" s="7" t="inlineStr">
        <is>
          <t>new</t>
        </is>
      </c>
      <c r="I17" s="7" t="n"/>
      <c r="J17" s="7" t="n"/>
      <c r="K17" s="7" t="n"/>
      <c r="L17" s="7" t="n"/>
    </row>
    <row r="18">
      <c r="A18" s="7" t="n"/>
      <c r="B18" s="7" t="n"/>
      <c r="C18" s="7" t="n"/>
      <c r="D18" s="7" t="n"/>
      <c r="E18" s="7" t="n">
        <v>3</v>
      </c>
      <c r="F18" s="7" t="n">
        <v>4</v>
      </c>
      <c r="G18" s="24">
        <f>IF(AND(E18&lt;&gt;"",F18&lt;&gt;""),E18*F18,"")</f>
        <v/>
      </c>
      <c r="H18" s="7" t="inlineStr">
        <is>
          <t>stable</t>
        </is>
      </c>
      <c r="I18" s="7" t="n"/>
      <c r="J18" s="7" t="n"/>
      <c r="K18" s="7" t="n"/>
      <c r="L18" s="7" t="n"/>
    </row>
    <row r="19">
      <c r="A19" s="7" t="n"/>
      <c r="B19" s="7" t="n"/>
      <c r="C19" s="7" t="n"/>
      <c r="D19" s="7" t="n"/>
      <c r="E19" s="7" t="n"/>
      <c r="F19" s="7" t="n"/>
      <c r="G19" s="24">
        <f>IF(AND(E19&lt;&gt;"",F19&lt;&gt;""),E19*F19,"")</f>
        <v/>
      </c>
      <c r="H19" s="7" t="inlineStr">
        <is>
          <t>new</t>
        </is>
      </c>
      <c r="I19" s="7" t="n"/>
      <c r="J19" s="7" t="n"/>
      <c r="K19" s="7" t="n"/>
      <c r="L19" s="7" t="n"/>
    </row>
    <row r="20">
      <c r="A20" s="7" t="n"/>
      <c r="B20" s="7" t="n"/>
      <c r="C20" s="7" t="n"/>
      <c r="D20" s="7" t="n"/>
      <c r="E20" s="7" t="n"/>
      <c r="F20" s="7" t="n"/>
      <c r="G20" s="24">
        <f>IF(AND(E20&lt;&gt;"",F20&lt;&gt;""),E20*F20,"")</f>
        <v/>
      </c>
      <c r="H20" s="7" t="inlineStr">
        <is>
          <t>new</t>
        </is>
      </c>
      <c r="I20" s="7" t="n"/>
      <c r="J20" s="7" t="n"/>
      <c r="K20" s="7" t="n"/>
      <c r="L20" s="7" t="n"/>
    </row>
    <row r="21">
      <c r="A21" s="7" t="n"/>
      <c r="B21" s="7" t="n"/>
      <c r="C21" s="7" t="n"/>
      <c r="D21" s="7" t="n"/>
      <c r="E21" s="7" t="n"/>
      <c r="F21" s="7" t="n"/>
      <c r="G21" s="24">
        <f>IF(AND(E21&lt;&gt;"",F21&lt;&gt;""),E21*F21,"")</f>
        <v/>
      </c>
      <c r="H21" s="7" t="inlineStr">
        <is>
          <t>new</t>
        </is>
      </c>
      <c r="I21" s="7" t="n"/>
      <c r="J21" s="7" t="n"/>
      <c r="K21" s="7" t="n"/>
      <c r="L21" s="7" t="n"/>
    </row>
    <row r="22">
      <c r="A22" s="7" t="n"/>
      <c r="B22" s="7" t="n"/>
      <c r="C22" s="7" t="n"/>
      <c r="D22" s="7" t="n"/>
      <c r="E22" s="7" t="n">
        <v>3</v>
      </c>
      <c r="F22" s="7" t="n">
        <v>3</v>
      </c>
      <c r="G22" s="24">
        <f>IF(AND(E22&lt;&gt;"",F22&lt;&gt;""),E22*F22,"")</f>
        <v/>
      </c>
      <c r="H22" s="7" t="inlineStr">
        <is>
          <t>stable</t>
        </is>
      </c>
      <c r="I22" s="7" t="n"/>
      <c r="J22" s="7" t="n"/>
      <c r="K22" s="7" t="n"/>
      <c r="L22" s="7" t="n"/>
    </row>
    <row r="23">
      <c r="A23" s="7" t="n"/>
      <c r="B23" s="7" t="n"/>
      <c r="C23" s="7" t="n"/>
      <c r="D23" s="7" t="n"/>
      <c r="E23" s="7" t="n"/>
      <c r="F23" s="7" t="n"/>
      <c r="G23" s="24">
        <f>IF(AND(E23&lt;&gt;"",F23&lt;&gt;""),E23*F23,"")</f>
        <v/>
      </c>
      <c r="H23" s="7" t="inlineStr">
        <is>
          <t>new</t>
        </is>
      </c>
      <c r="I23" s="7" t="n"/>
      <c r="J23" s="7" t="n"/>
      <c r="K23" s="7" t="n"/>
      <c r="L23" s="7" t="n"/>
    </row>
    <row r="24">
      <c r="H24" t="inlineStr">
        <is>
          <t>new</t>
        </is>
      </c>
    </row>
    <row r="25">
      <c r="H25" t="inlineStr">
        <is>
          <t>new</t>
        </is>
      </c>
    </row>
    <row r="26">
      <c r="E26" t="n">
        <v>4</v>
      </c>
      <c r="F26" t="n">
        <v>4</v>
      </c>
      <c r="H26" t="inlineStr">
        <is>
          <t>stable</t>
        </is>
      </c>
    </row>
    <row r="27">
      <c r="H27" t="inlineStr">
        <is>
          <t>new</t>
        </is>
      </c>
    </row>
    <row r="28">
      <c r="H28" t="inlineStr">
        <is>
          <t>new</t>
        </is>
      </c>
    </row>
    <row r="29">
      <c r="H29" t="inlineStr">
        <is>
          <t>new</t>
        </is>
      </c>
    </row>
    <row r="30">
      <c r="H30" t="inlineStr">
        <is>
          <t>new</t>
        </is>
      </c>
    </row>
    <row r="31">
      <c r="H31" t="inlineStr">
        <is>
          <t>new</t>
        </is>
      </c>
    </row>
    <row r="32">
      <c r="H32" t="inlineStr">
        <is>
          <t>new</t>
        </is>
      </c>
    </row>
    <row r="33">
      <c r="H33" t="inlineStr">
        <is>
          <t>new</t>
        </is>
      </c>
    </row>
    <row r="34">
      <c r="H34" t="inlineStr">
        <is>
          <t>new</t>
        </is>
      </c>
    </row>
    <row r="35">
      <c r="H35" t="inlineStr">
        <is>
          <t>new</t>
        </is>
      </c>
    </row>
    <row r="36">
      <c r="H36" t="inlineStr">
        <is>
          <t>new</t>
        </is>
      </c>
    </row>
    <row r="37">
      <c r="H37" t="inlineStr">
        <is>
          <t>new</t>
        </is>
      </c>
    </row>
    <row r="38">
      <c r="H38" t="inlineStr">
        <is>
          <t>new</t>
        </is>
      </c>
    </row>
    <row r="39">
      <c r="H39" t="inlineStr">
        <is>
          <t>new</t>
        </is>
      </c>
    </row>
    <row r="40">
      <c r="H40" t="inlineStr">
        <is>
          <t>new</t>
        </is>
      </c>
    </row>
    <row r="41">
      <c r="H41" t="inlineStr">
        <is>
          <t>new</t>
        </is>
      </c>
    </row>
    <row r="42">
      <c r="H42" t="inlineStr">
        <is>
          <t>new</t>
        </is>
      </c>
    </row>
    <row r="43">
      <c r="H43" t="inlineStr">
        <is>
          <t>new</t>
        </is>
      </c>
    </row>
    <row r="44">
      <c r="H44" t="inlineStr">
        <is>
          <t>new</t>
        </is>
      </c>
    </row>
    <row r="45">
      <c r="H45" t="inlineStr">
        <is>
          <t>new</t>
        </is>
      </c>
    </row>
    <row r="46">
      <c r="E46" t="n">
        <v>2</v>
      </c>
      <c r="F46" t="n">
        <v>3</v>
      </c>
      <c r="H46" t="inlineStr">
        <is>
          <t>stable</t>
        </is>
      </c>
    </row>
    <row r="47">
      <c r="H47" t="inlineStr">
        <is>
          <t>new</t>
        </is>
      </c>
    </row>
    <row r="48">
      <c r="H48" t="inlineStr">
        <is>
          <t>new</t>
        </is>
      </c>
    </row>
    <row r="49">
      <c r="H49" t="inlineStr">
        <is>
          <t>new</t>
        </is>
      </c>
    </row>
    <row r="50">
      <c r="E50" t="n">
        <v>2</v>
      </c>
      <c r="F50" t="n">
        <v>3</v>
      </c>
      <c r="H50" t="inlineStr">
        <is>
          <t>stable</t>
        </is>
      </c>
    </row>
    <row r="51">
      <c r="H51" t="inlineStr">
        <is>
          <t>new</t>
        </is>
      </c>
    </row>
    <row r="52">
      <c r="E52" t="n">
        <v>2</v>
      </c>
      <c r="F52" t="n">
        <v>3</v>
      </c>
      <c r="H52" t="inlineStr">
        <is>
          <t>stable</t>
        </is>
      </c>
    </row>
    <row r="53">
      <c r="H53" t="inlineStr">
        <is>
          <t>new</t>
        </is>
      </c>
    </row>
    <row r="54">
      <c r="H54" t="inlineStr">
        <is>
          <t>new</t>
        </is>
      </c>
    </row>
    <row r="55">
      <c r="H55" t="inlineStr">
        <is>
          <t>new</t>
        </is>
      </c>
    </row>
    <row r="56">
      <c r="E56" t="n">
        <v>3</v>
      </c>
      <c r="F56" t="n">
        <v>3</v>
      </c>
      <c r="H56" t="inlineStr">
        <is>
          <t>stable</t>
        </is>
      </c>
    </row>
    <row r="57">
      <c r="H57" t="inlineStr">
        <is>
          <t>new</t>
        </is>
      </c>
    </row>
    <row r="58">
      <c r="H58" t="inlineStr">
        <is>
          <t>new</t>
        </is>
      </c>
    </row>
    <row r="59">
      <c r="H59" t="inlineStr">
        <is>
          <t>new</t>
        </is>
      </c>
    </row>
    <row r="60">
      <c r="H60" t="inlineStr">
        <is>
          <t>new</t>
        </is>
      </c>
    </row>
    <row r="61">
      <c r="H61" t="inlineStr">
        <is>
          <t>new</t>
        </is>
      </c>
    </row>
    <row r="62">
      <c r="E62" t="n">
        <v>1</v>
      </c>
      <c r="F62" t="n">
        <v>4</v>
      </c>
      <c r="H62" t="inlineStr">
        <is>
          <t>stable</t>
        </is>
      </c>
    </row>
    <row r="63">
      <c r="H63" t="inlineStr">
        <is>
          <t>new</t>
        </is>
      </c>
    </row>
    <row r="64">
      <c r="H64" t="inlineStr">
        <is>
          <t>new</t>
        </is>
      </c>
    </row>
    <row r="65">
      <c r="H65" t="inlineStr">
        <is>
          <t>new</t>
        </is>
      </c>
    </row>
    <row r="66">
      <c r="H66" t="inlineStr">
        <is>
          <t>new</t>
        </is>
      </c>
    </row>
    <row r="67">
      <c r="H67" t="inlineStr">
        <is>
          <t>new</t>
        </is>
      </c>
    </row>
    <row r="68">
      <c r="H68" t="inlineStr">
        <is>
          <t>new</t>
        </is>
      </c>
    </row>
    <row r="69">
      <c r="H69" t="inlineStr">
        <is>
          <t>new</t>
        </is>
      </c>
    </row>
    <row r="70">
      <c r="H70" t="inlineStr">
        <is>
          <t>new</t>
        </is>
      </c>
    </row>
    <row r="71">
      <c r="H71" t="inlineStr">
        <is>
          <t>new</t>
        </is>
      </c>
    </row>
    <row r="72">
      <c r="H72" t="inlineStr">
        <is>
          <t>new</t>
        </is>
      </c>
    </row>
    <row r="73">
      <c r="H73" t="inlineStr">
        <is>
          <t>new</t>
        </is>
      </c>
    </row>
    <row r="74">
      <c r="H74" t="inlineStr">
        <is>
          <t>new</t>
        </is>
      </c>
    </row>
    <row r="75">
      <c r="H75" t="inlineStr">
        <is>
          <t>new</t>
        </is>
      </c>
    </row>
    <row r="76">
      <c r="H76" t="inlineStr">
        <is>
          <t>new</t>
        </is>
      </c>
    </row>
    <row r="77">
      <c r="H77" t="inlineStr">
        <is>
          <t>new</t>
        </is>
      </c>
    </row>
    <row r="78">
      <c r="H78" t="inlineStr">
        <is>
          <t>new</t>
        </is>
      </c>
    </row>
    <row r="79">
      <c r="H79" t="inlineStr">
        <is>
          <t>new</t>
        </is>
      </c>
    </row>
    <row r="80">
      <c r="H80" t="inlineStr">
        <is>
          <t>new</t>
        </is>
      </c>
    </row>
    <row r="81">
      <c r="H81" t="inlineStr">
        <is>
          <t>new</t>
        </is>
      </c>
    </row>
    <row r="82">
      <c r="H82" t="inlineStr">
        <is>
          <t>new</t>
        </is>
      </c>
    </row>
    <row r="83">
      <c r="H83" t="inlineStr">
        <is>
          <t>new</t>
        </is>
      </c>
    </row>
    <row r="84">
      <c r="H84" t="inlineStr">
        <is>
          <t>new</t>
        </is>
      </c>
    </row>
    <row r="85">
      <c r="H85" t="inlineStr">
        <is>
          <t>new</t>
        </is>
      </c>
    </row>
    <row r="86">
      <c r="H86" t="inlineStr">
        <is>
          <t>new</t>
        </is>
      </c>
    </row>
    <row r="87">
      <c r="H87" t="inlineStr">
        <is>
          <t>new</t>
        </is>
      </c>
    </row>
    <row r="88">
      <c r="H88" t="inlineStr">
        <is>
          <t>new</t>
        </is>
      </c>
    </row>
    <row r="89">
      <c r="H89" t="inlineStr">
        <is>
          <t>new</t>
        </is>
      </c>
    </row>
    <row r="90">
      <c r="H90" t="inlineStr">
        <is>
          <t>new</t>
        </is>
      </c>
    </row>
    <row r="91">
      <c r="H91" t="inlineStr">
        <is>
          <t>new</t>
        </is>
      </c>
    </row>
    <row r="92">
      <c r="H92" t="inlineStr">
        <is>
          <t>new</t>
        </is>
      </c>
    </row>
    <row r="93">
      <c r="H93" t="inlineStr">
        <is>
          <t>new</t>
        </is>
      </c>
    </row>
    <row r="94">
      <c r="H94" t="inlineStr">
        <is>
          <t>new</t>
        </is>
      </c>
    </row>
    <row r="95">
      <c r="H95" t="inlineStr">
        <is>
          <t>new</t>
        </is>
      </c>
    </row>
    <row r="96">
      <c r="H96" t="inlineStr">
        <is>
          <t>new</t>
        </is>
      </c>
    </row>
    <row r="97">
      <c r="H97" t="inlineStr">
        <is>
          <t>new</t>
        </is>
      </c>
    </row>
    <row r="98">
      <c r="H98" t="inlineStr">
        <is>
          <t>new</t>
        </is>
      </c>
    </row>
    <row r="99">
      <c r="H99" t="inlineStr">
        <is>
          <t>new</t>
        </is>
      </c>
    </row>
    <row r="100">
      <c r="H100" t="inlineStr">
        <is>
          <t>new</t>
        </is>
      </c>
    </row>
    <row r="101">
      <c r="H101" t="inlineStr">
        <is>
          <t>new</t>
        </is>
      </c>
    </row>
    <row r="102">
      <c r="H102" t="inlineStr">
        <is>
          <t>new</t>
        </is>
      </c>
    </row>
    <row r="103">
      <c r="H103" t="inlineStr">
        <is>
          <t>new</t>
        </is>
      </c>
    </row>
    <row r="104">
      <c r="H104" t="inlineStr">
        <is>
          <t>new</t>
        </is>
      </c>
    </row>
    <row r="105">
      <c r="H105" t="inlineStr">
        <is>
          <t>new</t>
        </is>
      </c>
    </row>
    <row r="106">
      <c r="H106" t="inlineStr">
        <is>
          <t>new</t>
        </is>
      </c>
    </row>
    <row r="107">
      <c r="H107" t="inlineStr">
        <is>
          <t>new</t>
        </is>
      </c>
    </row>
    <row r="108">
      <c r="H108" t="inlineStr">
        <is>
          <t>new</t>
        </is>
      </c>
    </row>
    <row r="109">
      <c r="H109" t="inlineStr">
        <is>
          <t>new</t>
        </is>
      </c>
    </row>
    <row r="110">
      <c r="H110" t="inlineStr">
        <is>
          <t>new</t>
        </is>
      </c>
    </row>
    <row r="111">
      <c r="H111" t="inlineStr">
        <is>
          <t>new</t>
        </is>
      </c>
    </row>
    <row r="112">
      <c r="H112" t="inlineStr">
        <is>
          <t>new</t>
        </is>
      </c>
    </row>
    <row r="113">
      <c r="H113" t="inlineStr">
        <is>
          <t>new</t>
        </is>
      </c>
    </row>
    <row r="114">
      <c r="H114" t="inlineStr">
        <is>
          <t>new</t>
        </is>
      </c>
    </row>
    <row r="115">
      <c r="H115" t="inlineStr">
        <is>
          <t>new</t>
        </is>
      </c>
    </row>
    <row r="116">
      <c r="H116" t="inlineStr">
        <is>
          <t>new</t>
        </is>
      </c>
    </row>
    <row r="117">
      <c r="H117" t="inlineStr">
        <is>
          <t>new</t>
        </is>
      </c>
    </row>
    <row r="118">
      <c r="H118" t="inlineStr">
        <is>
          <t>new</t>
        </is>
      </c>
    </row>
    <row r="119">
      <c r="H119" t="inlineStr">
        <is>
          <t>new</t>
        </is>
      </c>
    </row>
    <row r="120">
      <c r="H120" t="inlineStr">
        <is>
          <t>new</t>
        </is>
      </c>
    </row>
    <row r="121">
      <c r="H121" t="inlineStr">
        <is>
          <t>new</t>
        </is>
      </c>
    </row>
    <row r="122">
      <c r="H122" t="inlineStr">
        <is>
          <t>new</t>
        </is>
      </c>
    </row>
    <row r="123">
      <c r="H123" t="inlineStr">
        <is>
          <t>new</t>
        </is>
      </c>
    </row>
    <row r="124">
      <c r="H124" t="inlineStr">
        <is>
          <t>new</t>
        </is>
      </c>
    </row>
    <row r="125">
      <c r="H125" t="inlineStr">
        <is>
          <t>new</t>
        </is>
      </c>
    </row>
    <row r="126">
      <c r="H126" t="inlineStr">
        <is>
          <t>new</t>
        </is>
      </c>
    </row>
    <row r="127">
      <c r="H127" t="inlineStr">
        <is>
          <t>new</t>
        </is>
      </c>
    </row>
    <row r="128">
      <c r="H128" t="inlineStr">
        <is>
          <t>new</t>
        </is>
      </c>
    </row>
    <row r="129">
      <c r="H129" t="inlineStr">
        <is>
          <t>new</t>
        </is>
      </c>
    </row>
    <row r="130">
      <c r="H130" t="inlineStr">
        <is>
          <t>new</t>
        </is>
      </c>
    </row>
    <row r="131">
      <c r="H131" t="inlineStr">
        <is>
          <t>new</t>
        </is>
      </c>
    </row>
    <row r="132">
      <c r="H132" t="inlineStr">
        <is>
          <t>new</t>
        </is>
      </c>
    </row>
    <row r="133">
      <c r="H133" t="inlineStr">
        <is>
          <t>new</t>
        </is>
      </c>
    </row>
    <row r="134">
      <c r="H134" t="inlineStr">
        <is>
          <t>new</t>
        </is>
      </c>
    </row>
    <row r="135">
      <c r="H135" t="inlineStr">
        <is>
          <t>new</t>
        </is>
      </c>
    </row>
    <row r="136">
      <c r="H136" t="inlineStr">
        <is>
          <t>new</t>
        </is>
      </c>
    </row>
    <row r="137">
      <c r="H137" t="inlineStr">
        <is>
          <t>new</t>
        </is>
      </c>
    </row>
    <row r="138">
      <c r="H138" t="inlineStr">
        <is>
          <t>new</t>
        </is>
      </c>
    </row>
    <row r="139">
      <c r="H139" t="inlineStr">
        <is>
          <t>new</t>
        </is>
      </c>
    </row>
    <row r="140">
      <c r="H140" t="inlineStr">
        <is>
          <t>new</t>
        </is>
      </c>
    </row>
    <row r="141">
      <c r="H141" t="inlineStr">
        <is>
          <t>new</t>
        </is>
      </c>
    </row>
    <row r="142">
      <c r="H142" t="inlineStr">
        <is>
          <t>new</t>
        </is>
      </c>
    </row>
    <row r="143">
      <c r="H143" t="inlineStr">
        <is>
          <t>new</t>
        </is>
      </c>
    </row>
    <row r="144">
      <c r="H144" t="inlineStr">
        <is>
          <t>new</t>
        </is>
      </c>
    </row>
    <row r="145">
      <c r="H145" t="inlineStr">
        <is>
          <t>new</t>
        </is>
      </c>
    </row>
    <row r="146">
      <c r="H146" t="inlineStr">
        <is>
          <t>new</t>
        </is>
      </c>
    </row>
    <row r="147">
      <c r="H147" t="inlineStr">
        <is>
          <t>new</t>
        </is>
      </c>
    </row>
    <row r="148">
      <c r="H148" t="inlineStr">
        <is>
          <t>new</t>
        </is>
      </c>
    </row>
    <row r="149">
      <c r="H149" t="inlineStr">
        <is>
          <t>new</t>
        </is>
      </c>
    </row>
    <row r="150">
      <c r="H150" t="inlineStr">
        <is>
          <t>new</t>
        </is>
      </c>
    </row>
    <row r="151">
      <c r="H151" t="inlineStr">
        <is>
          <t>new</t>
        </is>
      </c>
    </row>
    <row r="152">
      <c r="H152" t="inlineStr">
        <is>
          <t>new</t>
        </is>
      </c>
    </row>
    <row r="153">
      <c r="H153" t="inlineStr">
        <is>
          <t>new</t>
        </is>
      </c>
    </row>
    <row r="154">
      <c r="H154" t="inlineStr">
        <is>
          <t>new</t>
        </is>
      </c>
    </row>
    <row r="155">
      <c r="H155" t="inlineStr">
        <is>
          <t>new</t>
        </is>
      </c>
    </row>
    <row r="156">
      <c r="H156" t="inlineStr">
        <is>
          <t>new</t>
        </is>
      </c>
    </row>
    <row r="157">
      <c r="H157" t="inlineStr">
        <is>
          <t>new</t>
        </is>
      </c>
    </row>
    <row r="158">
      <c r="H158" t="inlineStr">
        <is>
          <t>new</t>
        </is>
      </c>
    </row>
    <row r="159">
      <c r="H159" t="inlineStr">
        <is>
          <t>new</t>
        </is>
      </c>
    </row>
    <row r="160">
      <c r="H160" t="inlineStr">
        <is>
          <t>new</t>
        </is>
      </c>
    </row>
    <row r="161">
      <c r="H161" t="inlineStr">
        <is>
          <t>new</t>
        </is>
      </c>
    </row>
    <row r="162">
      <c r="H162" t="inlineStr">
        <is>
          <t>new</t>
        </is>
      </c>
    </row>
    <row r="163">
      <c r="H163" t="inlineStr">
        <is>
          <t>new</t>
        </is>
      </c>
    </row>
    <row r="164">
      <c r="H164" t="inlineStr">
        <is>
          <t>new</t>
        </is>
      </c>
    </row>
    <row r="165">
      <c r="H165" t="inlineStr">
        <is>
          <t>new</t>
        </is>
      </c>
    </row>
    <row r="166">
      <c r="H166" t="inlineStr">
        <is>
          <t>new</t>
        </is>
      </c>
    </row>
    <row r="167">
      <c r="H167" t="inlineStr">
        <is>
          <t>new</t>
        </is>
      </c>
    </row>
    <row r="168">
      <c r="H168" t="inlineStr">
        <is>
          <t>new</t>
        </is>
      </c>
    </row>
    <row r="169">
      <c r="H169" t="inlineStr">
        <is>
          <t>new</t>
        </is>
      </c>
    </row>
    <row r="170">
      <c r="H170" t="inlineStr">
        <is>
          <t>new</t>
        </is>
      </c>
    </row>
    <row r="171">
      <c r="H171" t="inlineStr">
        <is>
          <t>new</t>
        </is>
      </c>
    </row>
    <row r="172">
      <c r="H172" t="inlineStr">
        <is>
          <t>new</t>
        </is>
      </c>
    </row>
    <row r="173">
      <c r="H173" t="inlineStr">
        <is>
          <t>new</t>
        </is>
      </c>
    </row>
    <row r="174">
      <c r="H174" t="inlineStr">
        <is>
          <t>new</t>
        </is>
      </c>
    </row>
    <row r="175">
      <c r="H175" t="inlineStr">
        <is>
          <t>new</t>
        </is>
      </c>
    </row>
    <row r="176">
      <c r="H176" t="inlineStr">
        <is>
          <t>new</t>
        </is>
      </c>
    </row>
    <row r="177">
      <c r="H177" t="inlineStr">
        <is>
          <t>new</t>
        </is>
      </c>
    </row>
    <row r="178">
      <c r="H178" t="inlineStr">
        <is>
          <t>new</t>
        </is>
      </c>
    </row>
    <row r="179">
      <c r="H179" t="inlineStr">
        <is>
          <t>new</t>
        </is>
      </c>
    </row>
    <row r="180">
      <c r="H180" t="inlineStr">
        <is>
          <t>new</t>
        </is>
      </c>
    </row>
    <row r="181">
      <c r="H181" t="inlineStr">
        <is>
          <t>new</t>
        </is>
      </c>
    </row>
    <row r="182">
      <c r="H182" t="inlineStr">
        <is>
          <t>new</t>
        </is>
      </c>
    </row>
    <row r="183">
      <c r="H183" t="inlineStr">
        <is>
          <t>new</t>
        </is>
      </c>
    </row>
    <row r="184">
      <c r="H184" t="inlineStr">
        <is>
          <t>new</t>
        </is>
      </c>
    </row>
    <row r="185">
      <c r="H185" t="inlineStr">
        <is>
          <t>new</t>
        </is>
      </c>
    </row>
    <row r="186">
      <c r="H186" t="inlineStr">
        <is>
          <t>new</t>
        </is>
      </c>
    </row>
    <row r="187">
      <c r="H187" t="inlineStr">
        <is>
          <t>new</t>
        </is>
      </c>
    </row>
    <row r="188">
      <c r="H188" t="inlineStr">
        <is>
          <t>new</t>
        </is>
      </c>
    </row>
    <row r="189">
      <c r="H189" t="inlineStr">
        <is>
          <t>new</t>
        </is>
      </c>
    </row>
    <row r="190">
      <c r="H190" t="inlineStr">
        <is>
          <t>new</t>
        </is>
      </c>
    </row>
    <row r="191">
      <c r="H191" t="inlineStr">
        <is>
          <t>new</t>
        </is>
      </c>
    </row>
    <row r="192">
      <c r="H192" t="inlineStr">
        <is>
          <t>new</t>
        </is>
      </c>
    </row>
    <row r="193">
      <c r="H193" t="inlineStr">
        <is>
          <t>new</t>
        </is>
      </c>
    </row>
    <row r="194">
      <c r="H194" t="inlineStr">
        <is>
          <t>new</t>
        </is>
      </c>
    </row>
    <row r="195">
      <c r="H195" t="inlineStr">
        <is>
          <t>new</t>
        </is>
      </c>
    </row>
    <row r="196">
      <c r="H196" t="inlineStr">
        <is>
          <t>new</t>
        </is>
      </c>
    </row>
    <row r="197">
      <c r="H197" t="inlineStr">
        <is>
          <t>new</t>
        </is>
      </c>
    </row>
    <row r="198">
      <c r="H198" t="inlineStr">
        <is>
          <t>new</t>
        </is>
      </c>
    </row>
    <row r="199">
      <c r="H199" t="inlineStr">
        <is>
          <t>new</t>
        </is>
      </c>
    </row>
    <row r="200">
      <c r="H200" t="inlineStr">
        <is>
          <t>new</t>
        </is>
      </c>
    </row>
    <row r="201">
      <c r="H201" t="inlineStr">
        <is>
          <t>new</t>
        </is>
      </c>
    </row>
    <row r="202">
      <c r="H202" t="inlineStr">
        <is>
          <t>new</t>
        </is>
      </c>
    </row>
    <row r="203">
      <c r="H203" t="inlineStr">
        <is>
          <t>new</t>
        </is>
      </c>
    </row>
    <row r="204">
      <c r="H204" t="inlineStr">
        <is>
          <t>new</t>
        </is>
      </c>
    </row>
    <row r="205">
      <c r="H205" t="inlineStr">
        <is>
          <t>new</t>
        </is>
      </c>
    </row>
    <row r="206">
      <c r="H206" t="inlineStr">
        <is>
          <t>new</t>
        </is>
      </c>
    </row>
    <row r="207">
      <c r="H207" t="inlineStr">
        <is>
          <t>new</t>
        </is>
      </c>
    </row>
    <row r="208">
      <c r="H208" t="inlineStr">
        <is>
          <t>new</t>
        </is>
      </c>
    </row>
    <row r="209">
      <c r="H209" t="inlineStr">
        <is>
          <t>new</t>
        </is>
      </c>
    </row>
    <row r="210">
      <c r="H210" t="inlineStr">
        <is>
          <t>new</t>
        </is>
      </c>
    </row>
    <row r="211">
      <c r="H211" t="inlineStr">
        <is>
          <t>new</t>
        </is>
      </c>
    </row>
    <row r="212">
      <c r="H212" t="inlineStr">
        <is>
          <t>new</t>
        </is>
      </c>
    </row>
    <row r="213">
      <c r="H213" t="inlineStr">
        <is>
          <t>new</t>
        </is>
      </c>
    </row>
    <row r="214">
      <c r="H214" t="inlineStr">
        <is>
          <t>new</t>
        </is>
      </c>
    </row>
    <row r="215">
      <c r="H215" t="inlineStr">
        <is>
          <t>new</t>
        </is>
      </c>
    </row>
    <row r="216">
      <c r="H216" t="inlineStr">
        <is>
          <t>new</t>
        </is>
      </c>
    </row>
    <row r="217">
      <c r="H217" t="inlineStr">
        <is>
          <t>new</t>
        </is>
      </c>
    </row>
    <row r="218">
      <c r="H218" t="inlineStr">
        <is>
          <t>new</t>
        </is>
      </c>
    </row>
    <row r="219">
      <c r="H219" t="inlineStr">
        <is>
          <t>new</t>
        </is>
      </c>
    </row>
    <row r="220">
      <c r="H220" t="inlineStr">
        <is>
          <t>new</t>
        </is>
      </c>
    </row>
    <row r="221">
      <c r="H221" t="inlineStr">
        <is>
          <t>new</t>
        </is>
      </c>
    </row>
    <row r="222">
      <c r="H222" t="inlineStr">
        <is>
          <t>new</t>
        </is>
      </c>
    </row>
    <row r="223">
      <c r="H223" t="inlineStr">
        <is>
          <t>new</t>
        </is>
      </c>
    </row>
    <row r="224">
      <c r="H224" t="inlineStr">
        <is>
          <t>new</t>
        </is>
      </c>
    </row>
    <row r="225">
      <c r="H225" t="inlineStr">
        <is>
          <t>new</t>
        </is>
      </c>
    </row>
    <row r="226">
      <c r="H226" t="inlineStr">
        <is>
          <t>new</t>
        </is>
      </c>
    </row>
    <row r="227">
      <c r="H227" t="inlineStr">
        <is>
          <t>new</t>
        </is>
      </c>
    </row>
    <row r="228">
      <c r="H228" t="inlineStr">
        <is>
          <t>new</t>
        </is>
      </c>
    </row>
    <row r="229">
      <c r="H229" t="inlineStr">
        <is>
          <t>new</t>
        </is>
      </c>
    </row>
    <row r="230">
      <c r="D230" t="inlineStr">
        <is>
          <t>Exposure to GDP growth assumptions underpinning demand forecasts. Affects traffic, throughput, occupancy, and consumption volumes.</t>
        </is>
      </c>
      <c r="E230" t="n">
        <v>3</v>
      </c>
      <c r="F230" t="n">
        <v>3</v>
      </c>
      <c r="H230" t="inlineStr">
        <is>
          <t>stable</t>
        </is>
      </c>
    </row>
    <row r="231">
      <c r="D231" t="inlineStr">
        <is>
          <t>Risk that cost inflation (construction, labour, materials) exceeds revenue indexation (CPI/RPI). Common where revenue is CPI-linked but costs follow sector-specific indices (COPI, BCIS).</t>
        </is>
      </c>
      <c r="H231" t="inlineStr">
        <is>
          <t>new</t>
        </is>
      </c>
    </row>
    <row r="232">
      <c r="D232" t="inlineStr">
        <is>
          <t>Currency mismatch between revenue denomination, cost base, and debt service currency. Includes translation risk on cross-border holdings.</t>
        </is>
      </c>
      <c r="E232" t="n">
        <v>2</v>
      </c>
      <c r="F232" t="n">
        <v>3</v>
      </c>
      <c r="H232" t="inlineStr">
        <is>
          <t>stable</t>
        </is>
      </c>
    </row>
    <row r="233">
      <c r="D233" t="inlineStr">
        <is>
          <t>Exposure to specific commodity prices beyond general inflation. Includes gas, steel, copper, lithium, rare earths, cement, and agricultural inputs.</t>
        </is>
      </c>
      <c r="H233" t="inlineStr">
        <is>
          <t>new</t>
        </is>
      </c>
    </row>
    <row r="234">
      <c r="D234" t="inlineStr">
        <is>
          <t>Risk that increasing renewable penetration depresses wholesale power prices during periods of high renewable output, reducing merchant revenue for uncontracted generation.</t>
        </is>
      </c>
      <c r="H234" t="inlineStr">
        <is>
          <t>new</t>
        </is>
      </c>
    </row>
    <row r="235">
      <c r="D235" t="inlineStr">
        <is>
          <t>Exposure to population growth, migration patterns, or demographic shifts that underpin long-term demand. Relevant for social infrastructure, housing, and transport.</t>
        </is>
      </c>
      <c r="H235" t="inlineStr">
        <is>
          <t>new</t>
        </is>
      </c>
    </row>
    <row r="236">
      <c r="D236" t="inlineStr">
        <is>
          <t>Systematic tendency for traffic and demand forecasts to overestimate actual usage, particularly for greenfield projects. Well-documented in academic literature for toll roads (Flyvbjerg), airports, and rail. Ramp-up periods frequently exceed base case assumptions.</t>
        </is>
      </c>
      <c r="H236" t="inlineStr">
        <is>
          <t>new</t>
        </is>
      </c>
    </row>
    <row r="237">
      <c r="H237" t="inlineStr">
        <is>
          <t>new</t>
        </is>
      </c>
    </row>
    <row r="238">
      <c r="D238" t="inlineStr">
        <is>
          <t>Risk that the renewable energy resource (solar irradiance, wind speed) used to size initial debt is optimistic relative to long-term realised output. P50 forecasts may not reflect measurement uncertainty, wake effects, long-term wind speed trends, or panel degradation rates.</t>
        </is>
      </c>
      <c r="H238" t="inlineStr">
        <is>
          <t>new</t>
        </is>
      </c>
    </row>
    <row r="239">
      <c r="H239" t="inlineStr">
        <is>
          <t>new</t>
        </is>
      </c>
    </row>
    <row r="240">
      <c r="H240" t="inlineStr">
        <is>
          <t>new</t>
        </is>
      </c>
    </row>
    <row r="241">
      <c r="D241" t="inlineStr">
        <is>
          <t>Systematic underestimation of construction costs and timelines, particularly for complex or first-of-kind projects. Cost overruns erode equity cushion and can trigger additional debt requirements.</t>
        </is>
      </c>
      <c r="H241" t="inlineStr">
        <is>
          <t>new</t>
        </is>
      </c>
    </row>
    <row r="242">
      <c r="D242" t="inlineStr">
        <is>
          <t>Optimistic assumptions about future pricing levels, yield growth, or tariff escalation in the base case financial model. Includes overstated rental growth (real estate), tariff increases (regulated), and PPA re-contracting assumptions.</t>
        </is>
      </c>
      <c r="H242" t="inlineStr">
        <is>
          <t>new</t>
        </is>
      </c>
    </row>
    <row r="243">
      <c r="D243" t="inlineStr">
        <is>
          <t>Primary revenue contract or concession ends during or before debt tenor with no assured successor contract.</t>
        </is>
      </c>
      <c r="H243" t="inlineStr">
        <is>
          <t>new</t>
        </is>
      </c>
    </row>
    <row r="244">
      <c r="D244" t="inlineStr">
        <is>
          <t>Asset re-contracts at prevailing market prices into a liquid market.</t>
        </is>
      </c>
      <c r="H244" t="inlineStr">
        <is>
          <t>new</t>
        </is>
      </c>
    </row>
    <row r="245">
      <c r="D245" t="inlineStr">
        <is>
          <t>Asset renewal depends on bilateral negotiation with a single counterparty.</t>
        </is>
      </c>
      <c r="H245" t="inlineStr">
        <is>
          <t>new</t>
        </is>
      </c>
    </row>
    <row r="246">
      <c r="D246" t="inlineStr">
        <is>
          <t>Renewal requires winning a competitive tender against new bidders.</t>
        </is>
      </c>
      <c r="H246" t="inlineStr">
        <is>
          <t>new</t>
        </is>
      </c>
    </row>
    <row r="247">
      <c r="D247" t="inlineStr">
        <is>
          <t>No renewal possible. Asset returns to grantor for nil value at end of concession.</t>
        </is>
      </c>
      <c r="H247" t="inlineStr">
        <is>
          <t>new</t>
        </is>
      </c>
    </row>
    <row r="248">
      <c r="D248" t="inlineStr">
        <is>
          <t>Borrower model assumes concession or contract extension without binding commitment.</t>
        </is>
      </c>
      <c r="H248" t="inlineStr">
        <is>
          <t>new</t>
        </is>
      </c>
    </row>
    <row r="249">
      <c r="D249" t="inlineStr">
        <is>
          <t>Incumbent operator cannot economically win a clean-sheet concession re-tender while carrying legacy debt. Clean-sheet competitors bid with zero legacy cost, so any economically rational bid will defeat the incumbent.</t>
        </is>
      </c>
      <c r="H249" t="inlineStr">
        <is>
          <t>new</t>
        </is>
      </c>
    </row>
  </sheetData>
  <mergeCells count="1">
    <mergeCell ref="A1:L1"/>
  </mergeCells>
  <dataValidations count="6">
    <dataValidation sqref="C4 C5 C6 C7 C8 C9 C10 C11 C12 C13 C14 C15 C16 C17 C18 C19 C20 C21 C22 C23" showDropDown="0" showInputMessage="0" showErrorMessage="0" allowBlank="0" type="list">
      <formula1>"Credit &amp; Financial,Structural &amp; Documentation,Business &amp; Operational,Market &amp; Macroeconomic,Regulatory &amp; Legal,ESG &amp; Climate,Sector-Specific"</formula1>
    </dataValidation>
    <dataValidation sqref="E4 E5 E6 E7 E8 E9 E10 E11 E12 E13 E14 E15 E16 E17 E18 E19 E20 E21 E22 E23" showDropDown="0" showInputMessage="0" showErrorMessage="0" allowBlank="0" type="list">
      <formula1>"1,2,3,4,5"</formula1>
    </dataValidation>
    <dataValidation sqref="F4 F5 F6 F7 F8 F9 F10 F11 F12 F13 F14 F15 F16 F17 F18 F19 F20 F21 F22 F23" showDropDown="0" showInputMessage="0" showErrorMessage="0" allowBlank="0" type="list">
      <formula1>"1,2,3,4,5,6"</formula1>
    </dataValidation>
    <dataValidation sqref="H4 H5 H6 H7 H8 H9 H10 H11 H12 H13 H14 H15 H16 H17 H18 H19 H20 H21 H22 H23" showDropDown="0" showInputMessage="0" showErrorMessage="0" allowBlank="0" type="list">
      <formula1>"improving,stable,deteriorating"</formula1>
    </dataValidation>
    <dataValidation sqref="I4 I5 I6 I7 I8 I9 I10 I11 I12 I13 I14 I15 I16 I17 I18 I19 I20 I21 I22 I23" showDropDown="0" showInputMessage="0" showErrorMessage="0" allowBlank="0" type="list">
      <formula1>"M1 - None,M2 - Reputational,M3 - Contractual,M4 - Insured,M5 - Guaranteed/Sovereign"</formula1>
    </dataValidation>
    <dataValidation sqref="K4 K5 K6 K7 K8 K9 K10 K11 K12 K13 K14 K15 K16 K17 K18 K19 K20 K21 K22 K23" showDropDown="0" showInputMessage="0" showErrorMessage="0" allowBlank="0" type="list">
      <formula1>"C1 - None,C2 - Comfort,C3 - Reserve,C4 - Funded,C5 - Overcollateralised"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cols>
    <col width="42" customWidth="1" min="1" max="1"/>
    <col width="30" customWidth="1" min="2" max="2"/>
    <col width="65" customWidth="1" min="3" max="3"/>
  </cols>
  <sheetData>
    <row r="1" ht="40" customHeight="1">
      <c r="A1" s="11" t="inlineStr">
        <is>
          <t>ONBOARDING SNAPSHOT — Frozen at investment. WRITE-ONCE in the database: edits are blocked by trigger; restructurings create a new snapshot with snapshot_number + 1.</t>
        </is>
      </c>
    </row>
    <row r="2"/>
    <row r="3">
      <c r="A3" s="25" t="inlineStr">
        <is>
          <t>Field</t>
        </is>
      </c>
      <c r="B3" s="25" t="inlineStr">
        <is>
          <t>Value</t>
        </is>
      </c>
      <c r="C3" s="25" t="inlineStr">
        <is>
          <t>Guidance</t>
        </is>
      </c>
    </row>
    <row r="4">
      <c r="A4" s="4" t="inlineStr">
        <is>
          <t>SNAPSHOT METADATA</t>
        </is>
      </c>
      <c r="B4" s="27" t="n"/>
      <c r="C4" s="28" t="n"/>
    </row>
    <row r="5">
      <c r="A5" s="6" t="inlineStr">
        <is>
          <t>Snapshot Date *</t>
        </is>
      </c>
      <c r="B5" s="7" t="inlineStr">
        <is>
          <t>2019-01-01</t>
        </is>
      </c>
      <c r="C5" s="8" t="inlineStr">
        <is>
          <t>Usually the origination date (YYYY-MM-DD)</t>
        </is>
      </c>
    </row>
    <row r="6">
      <c r="A6" s="6" t="inlineStr">
        <is>
          <t>Snapshot Reason *</t>
        </is>
      </c>
      <c r="B6" s="7" t="inlineStr">
        <is>
          <t>origination</t>
        </is>
      </c>
      <c r="C6" s="8" t="inlineStr">
        <is>
          <t>origination | restructuring | re_underwriting | covenant_reset</t>
        </is>
      </c>
    </row>
    <row r="7">
      <c r="A7" s="9" t="inlineStr">
        <is>
          <t>Captured By</t>
        </is>
      </c>
      <c r="B7" s="7" t="n"/>
      <c r="C7" s="8" t="inlineStr">
        <is>
          <t>IC approver or credit officer</t>
        </is>
      </c>
    </row>
    <row r="8"/>
    <row r="9">
      <c r="A9" s="4" t="inlineStr">
        <is>
          <t>A. STRUCTURAL POSITION AT ONBOARDING</t>
        </is>
      </c>
      <c r="B9" s="27" t="n"/>
      <c r="C9" s="28" t="n"/>
    </row>
    <row r="10">
      <c r="A10" s="9" t="inlineStr">
        <is>
          <t>Tail Years at Onboarding</t>
        </is>
      </c>
      <c r="B10" s="7" t="n">
        <v>36</v>
      </c>
      <c r="C10" s="8" t="inlineStr">
        <is>
          <t>Signed number of years (e.g. +3.07 or -2.50)</t>
        </is>
      </c>
    </row>
    <row r="11">
      <c r="A11" s="9" t="inlineStr">
        <is>
          <t>Tail Classification at Onboarding</t>
        </is>
      </c>
      <c r="B11" s="7" t="inlineStr">
        <is>
          <t>positive_tail</t>
        </is>
      </c>
      <c r="C11" s="8" t="inlineStr">
        <is>
          <t>positive_tail | matched | negative_tail</t>
        </is>
      </c>
    </row>
    <row r="12">
      <c r="A12" s="9" t="inlineStr">
        <is>
          <t>Renewal Profile at Onboarding</t>
        </is>
      </c>
      <c r="B12" s="7" t="inlineStr">
        <is>
          <t>hand_back_zero_value</t>
        </is>
      </c>
      <c r="C12" s="8" t="inlineStr">
        <is>
          <t>Same values as main Renewal Profile field</t>
        </is>
      </c>
    </row>
    <row r="13">
      <c r="A13" s="9" t="inlineStr">
        <is>
          <t>Debt Repayment From Renewal % at Onboarding</t>
        </is>
      </c>
      <c r="B13" s="7" t="n">
        <v>0</v>
      </c>
      <c r="C13" s="8" t="inlineStr">
        <is>
          <t>0-100</t>
        </is>
      </c>
    </row>
    <row r="14">
      <c r="A14" s="9" t="inlineStr">
        <is>
          <t>Revenue Risk Code at Onboarding</t>
        </is>
      </c>
      <c r="B14" s="7" t="inlineStr">
        <is>
          <t>P3-V4-D5</t>
        </is>
      </c>
      <c r="C14" s="8" t="inlineStr">
        <is>
          <t>Frozen P-V-D code (e.g. P3-V5-D5)</t>
        </is>
      </c>
    </row>
    <row r="15">
      <c r="A15" s="9" t="inlineStr">
        <is>
          <t>Concession Years Remaining at Onboarding</t>
        </is>
      </c>
      <c r="B15" s="7" t="n">
        <v>67</v>
      </c>
      <c r="C15" s="8" t="inlineStr">
        <is>
          <t>Years remaining at investment date</t>
        </is>
      </c>
    </row>
    <row r="16">
      <c r="A16" s="9" t="inlineStr">
        <is>
          <t>Number of Distribution Gates</t>
        </is>
      </c>
      <c r="B16" s="7" t="n"/>
      <c r="C16" s="8" t="inlineStr">
        <is>
          <t>Integer: count of distribution_condition rows in Tab 22</t>
        </is>
      </c>
    </row>
    <row r="17">
      <c r="A17" s="9" t="inlineStr">
        <is>
          <t>Distribution Gates Summary</t>
        </is>
      </c>
      <c r="B17" s="7" t="n"/>
      <c r="C17" s="8" t="inlineStr">
        <is>
          <t>One-line summary: e.g. 3 ratio gates + 8 non-ratio gates + stepped cash sweep</t>
        </is>
      </c>
    </row>
    <row r="18"/>
    <row r="19">
      <c r="A19" s="4" t="inlineStr">
        <is>
          <t>B. FINANCIAL METRICS AT ONBOARDING</t>
        </is>
      </c>
      <c r="B19" s="27" t="n"/>
      <c r="C19" s="28" t="n"/>
    </row>
    <row r="20">
      <c r="A20" s="9" t="inlineStr">
        <is>
          <t>Entry Leverage</t>
        </is>
      </c>
      <c r="B20" s="7" t="n">
        <v>6.8</v>
      </c>
      <c r="C20" s="8" t="inlineStr">
        <is>
          <t>Net Debt / EBITDA at purchase (e.g. 6.50)</t>
        </is>
      </c>
    </row>
    <row r="21">
      <c r="A21" s="9" t="inlineStr">
        <is>
          <t>Entry Year-1 DSCR</t>
        </is>
      </c>
      <c r="B21" s="7" t="n"/>
      <c r="C21" s="8" t="inlineStr">
        <is>
          <t>Year 1 management case DSCR (e.g. 1.35)</t>
        </is>
      </c>
    </row>
    <row r="22">
      <c r="A22" s="9" t="inlineStr">
        <is>
          <t>Min DSCR Across Life</t>
        </is>
      </c>
      <c r="B22" s="7" t="n"/>
      <c r="C22" s="8" t="inlineStr">
        <is>
          <t>Minimum management case DSCR over debt life</t>
        </is>
      </c>
    </row>
    <row r="23">
      <c r="A23" s="9" t="inlineStr">
        <is>
          <t>Entry LLCR</t>
        </is>
      </c>
      <c r="B23" s="7" t="n">
        <v>1.45</v>
      </c>
      <c r="C23" s="8" t="inlineStr">
        <is>
          <t>Year 1 Loan Life Coverage Ratio</t>
        </is>
      </c>
    </row>
    <row r="24">
      <c r="A24" s="9" t="inlineStr">
        <is>
          <t>Entry Loan Life (years)</t>
        </is>
      </c>
      <c r="B24" s="7" t="n">
        <v>32</v>
      </c>
      <c r="C24" s="8" t="inlineStr">
        <is>
          <t>Years from origination to final debt maturity</t>
        </is>
      </c>
    </row>
    <row r="25">
      <c r="A25" s="9" t="inlineStr">
        <is>
          <t>Entry Weighted Average Life</t>
        </is>
      </c>
      <c r="B25" s="7" t="n"/>
      <c r="C25" s="8" t="inlineStr">
        <is>
          <t>Debt WAL at origination</t>
        </is>
      </c>
    </row>
    <row r="26"/>
    <row r="27">
      <c r="A27" s="4" t="inlineStr">
        <is>
          <t>C. LENDER CASE / STRESS AT ONBOARDING</t>
        </is>
      </c>
      <c r="B27" s="27" t="n"/>
      <c r="C27" s="28" t="n"/>
    </row>
    <row r="28">
      <c r="A28" s="9" t="inlineStr">
        <is>
          <t>Lender Case Min DSCR</t>
        </is>
      </c>
      <c r="B28" s="7" t="n"/>
      <c r="C28" s="8" t="inlineStr">
        <is>
          <t>Minimum DSCR under lender downside</t>
        </is>
      </c>
    </row>
    <row r="29">
      <c r="A29" s="9" t="inlineStr">
        <is>
          <t>Lender Case Peak Leverage</t>
        </is>
      </c>
      <c r="B29" s="7" t="n"/>
      <c r="C29" s="8" t="inlineStr">
        <is>
          <t>Peak Net Debt / EBITDA under lender downside</t>
        </is>
      </c>
    </row>
    <row r="30">
      <c r="A30" s="9" t="inlineStr">
        <is>
          <t>Stress Break-Even %</t>
        </is>
      </c>
      <c r="B30" s="7" t="n"/>
      <c r="C30" s="8" t="inlineStr">
        <is>
          <t>% revenue decline required to breach DSCR 1.0x</t>
        </is>
      </c>
    </row>
    <row r="31">
      <c r="A31" s="9" t="inlineStr">
        <is>
          <t>Stress Cases Tested</t>
        </is>
      </c>
      <c r="B31" s="7" t="inlineStr">
        <is>
          <t>Lender case: -15% truck volumes, -25% passenger volumes, inflation +3% above budget. Covid-style single-year stress test.</t>
        </is>
      </c>
      <c r="C31" s="8" t="inlineStr">
        <is>
          <t>Free text describing the scenarios stressed at IC</t>
        </is>
      </c>
    </row>
    <row r="32"/>
    <row r="33">
      <c r="A33" s="4" t="inlineStr">
        <is>
          <t>D. IC GOVERNANCE AT ONBOARDING</t>
        </is>
      </c>
      <c r="B33" s="27" t="n"/>
      <c r="C33" s="28" t="n"/>
    </row>
    <row r="34">
      <c r="A34" s="9" t="inlineStr">
        <is>
          <t>IC Memo Date</t>
        </is>
      </c>
      <c r="B34" s="7" t="inlineStr">
        <is>
          <t>2018-12-14</t>
        </is>
      </c>
      <c r="C34" s="8" t="inlineStr">
        <is>
          <t>Date the IC memo was approved (YYYY-MM-DD)</t>
        </is>
      </c>
    </row>
    <row r="35">
      <c r="A35" s="9" t="inlineStr">
        <is>
          <t>IC Memo Reference</t>
        </is>
      </c>
      <c r="B35" s="7" t="inlineStr">
        <is>
          <t>IC-2018-GET-001</t>
        </is>
      </c>
      <c r="C35" s="8" t="inlineStr">
        <is>
          <t>Document reference / ID</t>
        </is>
      </c>
    </row>
    <row r="36">
      <c r="A36" s="9" t="inlineStr">
        <is>
          <t>IC Approved By</t>
        </is>
      </c>
      <c r="B36" s="7" t="inlineStr">
        <is>
          <t>Credit Committee</t>
        </is>
      </c>
      <c r="C36" s="8" t="inlineStr">
        <is>
          <t>Committee name or delegated approver</t>
        </is>
      </c>
    </row>
    <row r="37">
      <c r="A37" s="9" t="inlineStr">
        <is>
          <t>IC Approval Conditions</t>
        </is>
      </c>
      <c r="B37" s="7" t="inlineStr">
        <is>
          <t>Approved subject to: (i) annual review of concession compliance, (ii) ongoing monitoring of ferry competition and market share, (iii) distribution lockup at DSCR &lt; 1.25x.</t>
        </is>
      </c>
      <c r="C37" s="8" t="inlineStr">
        <is>
          <t>Any conditions imposed by the IC</t>
        </is>
      </c>
    </row>
    <row r="38">
      <c r="A38" s="9" t="inlineStr">
        <is>
          <t>IC Vote Margin</t>
        </is>
      </c>
      <c r="B38" s="7" t="inlineStr">
        <is>
          <t>unanimous</t>
        </is>
      </c>
      <c r="C38" s="8" t="inlineStr">
        <is>
          <t>unanimous | majority | dissented</t>
        </is>
      </c>
    </row>
    <row r="39"/>
    <row r="40">
      <c r="A40" s="4" t="inlineStr">
        <is>
          <t>E. ORIGINATION ECONOMICS</t>
        </is>
      </c>
      <c r="B40" s="27" t="n"/>
      <c r="C40" s="28" t="n"/>
    </row>
    <row r="41">
      <c r="A41" s="9" t="inlineStr">
        <is>
          <t>Entry All-In Margin (bps)</t>
        </is>
      </c>
      <c r="B41" s="7" t="n">
        <v>350</v>
      </c>
      <c r="C41" s="8" t="inlineStr">
        <is>
          <t>All-in margin at entry over reference rate</t>
        </is>
      </c>
    </row>
    <row r="42">
      <c r="A42" s="9" t="inlineStr">
        <is>
          <t>Entry Upfront Fees (bps)</t>
        </is>
      </c>
      <c r="B42" s="7" t="n">
        <v>100</v>
      </c>
      <c r="C42" s="8" t="inlineStr">
        <is>
          <t>Fees earned at origination</t>
        </is>
      </c>
    </row>
    <row r="43">
      <c r="A43" s="9" t="inlineStr">
        <is>
          <t>Entry Secondary Purchase Price %</t>
        </is>
      </c>
      <c r="B43" s="7" t="n">
        <v>99.5</v>
      </c>
      <c r="C43" s="8" t="inlineStr">
        <is>
          <t>e.g. 98.50 for 98.5% of par (for secondary purchases)</t>
        </is>
      </c>
    </row>
    <row r="44">
      <c r="A44" s="9" t="inlineStr">
        <is>
          <t>Entry Yield to Maturity</t>
        </is>
      </c>
      <c r="B44" s="7" t="n">
        <v>0.042</v>
      </c>
      <c r="C44" s="8" t="inlineStr">
        <is>
          <t>Expected YTM at origination (decimal, e.g. 0.0920 for 9.20%)</t>
        </is>
      </c>
    </row>
    <row r="45">
      <c r="A45" s="9" t="inlineStr">
        <is>
          <t>Expected Hold Period (years)</t>
        </is>
      </c>
      <c r="B45" s="7" t="n">
        <v>10</v>
      </c>
      <c r="C45" s="8" t="inlineStr">
        <is>
          <t>Expected investment horizon</t>
        </is>
      </c>
    </row>
    <row r="46">
      <c r="A46" s="9" t="inlineStr">
        <is>
          <t>Exit Strategy</t>
        </is>
      </c>
      <c r="B46" s="7" t="inlineStr">
        <is>
          <t>Hold to refinance. Monitor Eurotunnel Term Loan refinancing in 2050.</t>
        </is>
      </c>
      <c r="C46" s="8" t="inlineStr">
        <is>
          <t>hold to maturity | sell | refinance | describe</t>
        </is>
      </c>
    </row>
    <row r="47"/>
    <row r="48">
      <c r="A48" s="4" t="inlineStr">
        <is>
          <t>F. MARKET CONTEXT AT ONBOARDING</t>
        </is>
      </c>
      <c r="B48" s="27" t="n"/>
      <c r="C48" s="28" t="n"/>
    </row>
    <row r="49">
      <c r="A49" s="9" t="inlineStr">
        <is>
          <t>Entry Risk-Free Rate (bps)</t>
        </is>
      </c>
      <c r="B49" s="7" t="n">
        <v>100</v>
      </c>
      <c r="C49" s="8" t="inlineStr">
        <is>
          <t>10yr gilt / Treasury at entry</t>
        </is>
      </c>
    </row>
    <row r="50">
      <c r="A50" s="9" t="inlineStr">
        <is>
          <t>Entry Credit Spread (bps)</t>
        </is>
      </c>
      <c r="B50" s="7" t="n">
        <v>320</v>
      </c>
      <c r="C50" s="8" t="inlineStr">
        <is>
          <t>Spread over risk-free rate at entry</t>
        </is>
      </c>
    </row>
    <row r="51">
      <c r="A51" s="9" t="inlineStr">
        <is>
          <t>Entry Relative Value Notes</t>
        </is>
      </c>
      <c r="B51" s="7" t="inlineStr">
        <is>
          <t>Entry spread of 320bps over 10yr Bund reflected the combined infrastructure + merchant traffic risk. Attractive relative to ferry operators in the peer set given asset quality and concession tail.</t>
        </is>
      </c>
      <c r="C51" s="8" t="inlineStr">
        <is>
          <t>Rationale for the deal at that time</t>
        </is>
      </c>
    </row>
    <row r="52"/>
    <row r="53">
      <c r="A53" s="4" t="inlineStr">
        <is>
          <t>G. INITIAL RISK ASSESSMENT</t>
        </is>
      </c>
      <c r="B53" s="27" t="n"/>
      <c r="C53" s="28" t="n"/>
    </row>
    <row r="54">
      <c r="A54" s="9" t="inlineStr">
        <is>
          <t>Initial Risk Score</t>
        </is>
      </c>
      <c r="B54" s="7" t="n">
        <v>48</v>
      </c>
      <c r="C54" s="8" t="inlineStr">
        <is>
          <t>Risk register score at origination</t>
        </is>
      </c>
    </row>
    <row r="55">
      <c r="A55" s="9" t="inlineStr">
        <is>
          <t>Initial Grade</t>
        </is>
      </c>
      <c r="B55" s="7" t="inlineStr">
        <is>
          <t>2 - In Line</t>
        </is>
      </c>
      <c r="C55" s="8" t="inlineStr">
        <is>
          <t>Grade at origination (e.g. 2 - In Line)</t>
        </is>
      </c>
    </row>
    <row r="56">
      <c r="A56" s="9" t="inlineStr">
        <is>
          <t>Critical Risks at Onboarding</t>
        </is>
      </c>
      <c r="B56" s="7" t="inlineStr">
        <is>
          <t>Top 3 at origination: (1) Cross-channel demand volatility with ferry competition; (2) Index-linked debt inflation exposure in rising rate environment; (3) Brexit uncertainty impacting trade flows.</t>
        </is>
      </c>
      <c r="C56" s="8" t="inlineStr">
        <is>
          <t>Top 3 risks summary narrative</t>
        </is>
      </c>
    </row>
    <row r="57"/>
    <row r="58">
      <c r="A58" s="9" t="inlineStr">
        <is>
          <t>Snapshot Notes</t>
        </is>
      </c>
      <c r="B58" s="7" t="n"/>
      <c r="C58" s="8" t="inlineStr">
        <is>
          <t>Any general notes about this snapshot</t>
        </is>
      </c>
    </row>
    <row r="59"/>
    <row r="60"/>
  </sheetData>
  <mergeCells count="9">
    <mergeCell ref="A19:C19"/>
    <mergeCell ref="A33:C33"/>
    <mergeCell ref="A1:C1"/>
    <mergeCell ref="A40:C40"/>
    <mergeCell ref="A9:C9"/>
    <mergeCell ref="A27:C27"/>
    <mergeCell ref="A53:C53"/>
    <mergeCell ref="A4:C4"/>
    <mergeCell ref="A48:C4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6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8" customWidth="1" min="3" max="3"/>
    <col width="15" customWidth="1" min="4" max="4"/>
    <col width="12" customWidth="1" min="5" max="5"/>
    <col width="14" customWidth="1" min="6" max="6"/>
    <col width="14" customWidth="1" min="7" max="7"/>
    <col width="18" customWidth="1" min="8" max="8"/>
    <col width="12" customWidth="1" min="9" max="9"/>
    <col width="16" customWidth="1" min="10" max="10"/>
    <col width="12" customWidth="1" min="11" max="11"/>
    <col width="18" customWidth="1" min="12" max="12"/>
    <col width="25" customWidth="1" min="13" max="13"/>
  </cols>
  <sheetData>
    <row r="1" ht="40" customHeight="1">
      <c r="A1" s="11" t="inlineStr">
        <is>
          <t>OBLIGATIONS &amp; DELIVERABLES — Record each obligation from the finance documentation. One row per obligation. These drive the deliverables calendar.</t>
        </is>
      </c>
    </row>
    <row r="2">
      <c r="A2" s="3" t="inlineStr">
        <is>
          <t>Obligation ID</t>
        </is>
      </c>
      <c r="B2" s="3" t="inlineStr">
        <is>
          <t>Obligation Name</t>
        </is>
      </c>
      <c r="C2" s="3" t="inlineStr">
        <is>
          <t>Applicable</t>
        </is>
      </c>
      <c r="D2" s="3" t="inlineStr">
        <is>
          <t>Responsible Party</t>
        </is>
      </c>
      <c r="E2" s="3" t="inlineStr">
        <is>
          <t>Frequency</t>
        </is>
      </c>
      <c r="F2" s="3" t="inlineStr">
        <is>
          <t>Business Days After Period End</t>
        </is>
      </c>
      <c r="G2" s="3" t="inlineStr">
        <is>
          <t>Business Day Jurisdictions</t>
        </is>
      </c>
      <c r="H2" s="3" t="inlineStr">
        <is>
          <t>Business Day Convention</t>
        </is>
      </c>
      <c r="I2" s="3" t="inlineStr">
        <is>
          <t>Grace Period (Business Days)</t>
        </is>
      </c>
      <c r="J2" s="3" t="inlineStr">
        <is>
          <t>Severity if Missed</t>
        </is>
      </c>
      <c r="K2" s="3" t="inlineStr">
        <is>
          <t>Phase</t>
        </is>
      </c>
      <c r="L2" s="3" t="inlineStr">
        <is>
          <t>Source Clause</t>
        </is>
      </c>
      <c r="M2" s="3" t="inlineStr">
        <is>
          <t>Notes</t>
        </is>
      </c>
    </row>
    <row r="3" ht="50" customHeight="1">
      <c r="A3" s="8" t="inlineStr">
        <is>
          <t>From taxonomy (e.g. INFO-001) or custom</t>
        </is>
      </c>
      <c r="B3" s="8" t="inlineStr">
        <is>
          <t>Short title from finance docs</t>
        </is>
      </c>
      <c r="C3" s="8" t="inlineStr">
        <is>
          <t>Yes/No</t>
        </is>
      </c>
      <c r="D3" s="8" t="inlineStr">
        <is>
          <t>borrower, auditor, agent, adviser, insurer</t>
        </is>
      </c>
      <c r="E3" s="8" t="inlineStr">
        <is>
          <t>annual, semi_annual, quarterly, monthly, event_driven</t>
        </is>
      </c>
      <c r="F3" s="8" t="inlineStr">
        <is>
          <t>Integer (e.g. 90 = 90 business days after period end)</t>
        </is>
      </c>
      <c r="G3" s="8" t="inlineStr">
        <is>
          <t>ISO codes e.g. GB or GB,US</t>
        </is>
      </c>
      <c r="H3" s="8" t="inlineStr">
        <is>
          <t>modified_following, following, preceding, no_adjustment</t>
        </is>
      </c>
      <c r="I3" s="8" t="inlineStr">
        <is>
          <t>Additional business days before overdue</t>
        </is>
      </c>
      <c r="J3" s="8" t="inlineStr">
        <is>
          <t>informational, potential_default, event_of_default</t>
        </is>
      </c>
      <c r="K3" s="8" t="inlineStr">
        <is>
          <t>all, construction, operational</t>
        </is>
      </c>
      <c r="L3" s="8" t="inlineStr">
        <is>
          <t>Clause reference in finance documents</t>
        </is>
      </c>
      <c r="M3" s="8" t="inlineStr">
        <is>
          <t>Free text</t>
        </is>
      </c>
    </row>
    <row r="4">
      <c r="A4" s="26" t="inlineStr">
        <is>
          <t>INFO-001</t>
        </is>
      </c>
      <c r="B4" s="26" t="inlineStr">
        <is>
          <t>Annual Audited Financial Statements</t>
        </is>
      </c>
      <c r="C4" s="7" t="inlineStr">
        <is>
          <t>Yes</t>
        </is>
      </c>
      <c r="D4" s="7" t="inlineStr">
        <is>
          <t>borrower</t>
        </is>
      </c>
      <c r="E4" s="7" t="inlineStr">
        <is>
          <t>annual</t>
        </is>
      </c>
      <c r="F4" s="7" t="n">
        <v>90</v>
      </c>
      <c r="G4" s="7" t="inlineStr"/>
      <c r="H4" s="7" t="inlineStr">
        <is>
          <t>modified_following</t>
        </is>
      </c>
      <c r="I4" s="7" t="n">
        <v>10</v>
      </c>
      <c r="J4" s="7" t="inlineStr">
        <is>
          <t>potential_default</t>
        </is>
      </c>
      <c r="K4" s="26" t="inlineStr">
        <is>
          <t>operational</t>
        </is>
      </c>
      <c r="L4" s="7" t="n"/>
      <c r="M4" s="7" t="n"/>
    </row>
    <row r="5">
      <c r="A5" s="26" t="inlineStr">
        <is>
          <t>INFO-002</t>
        </is>
      </c>
      <c r="B5" s="26" t="inlineStr">
        <is>
          <t>Semi-Annual Management Accounts</t>
        </is>
      </c>
      <c r="C5" s="7" t="inlineStr">
        <is>
          <t>Yes</t>
        </is>
      </c>
      <c r="D5" s="7" t="inlineStr">
        <is>
          <t>borrower</t>
        </is>
      </c>
      <c r="E5" s="7" t="inlineStr">
        <is>
          <t>semi_annual</t>
        </is>
      </c>
      <c r="F5" s="7" t="n">
        <v>60</v>
      </c>
      <c r="G5" s="7" t="inlineStr"/>
      <c r="H5" s="7" t="inlineStr">
        <is>
          <t>modified_following</t>
        </is>
      </c>
      <c r="I5" s="7" t="n">
        <v>5</v>
      </c>
      <c r="J5" s="7" t="inlineStr">
        <is>
          <t>informational</t>
        </is>
      </c>
      <c r="K5" s="26" t="inlineStr">
        <is>
          <t>operational</t>
        </is>
      </c>
      <c r="L5" s="7" t="n"/>
      <c r="M5" s="7" t="n"/>
    </row>
    <row r="6">
      <c r="A6" s="26" t="inlineStr">
        <is>
          <t>INFO-003</t>
        </is>
      </c>
      <c r="B6" s="26" t="inlineStr">
        <is>
          <t>Annual Budget / Business Plan</t>
        </is>
      </c>
      <c r="C6" s="7" t="inlineStr">
        <is>
          <t>Yes</t>
        </is>
      </c>
      <c r="D6" s="7" t="inlineStr">
        <is>
          <t>borrower</t>
        </is>
      </c>
      <c r="E6" s="7" t="inlineStr">
        <is>
          <t>annual</t>
        </is>
      </c>
      <c r="F6" s="7" t="n">
        <v>30</v>
      </c>
      <c r="G6" s="7" t="inlineStr"/>
      <c r="H6" s="7" t="inlineStr">
        <is>
          <t>modified_following</t>
        </is>
      </c>
      <c r="I6" s="7" t="n">
        <v>10</v>
      </c>
      <c r="J6" s="7" t="inlineStr">
        <is>
          <t>informational</t>
        </is>
      </c>
      <c r="K6" s="26" t="inlineStr">
        <is>
          <t>operational</t>
        </is>
      </c>
      <c r="L6" s="7" t="n"/>
      <c r="M6" s="7" t="n"/>
    </row>
    <row r="7">
      <c r="A7" s="26" t="inlineStr">
        <is>
          <t>INFO-004</t>
        </is>
      </c>
      <c r="B7" s="26" t="inlineStr">
        <is>
          <t>Compliance Certificate</t>
        </is>
      </c>
      <c r="C7" s="7" t="inlineStr">
        <is>
          <t>Yes</t>
        </is>
      </c>
      <c r="D7" s="7" t="inlineStr">
        <is>
          <t>borrower</t>
        </is>
      </c>
      <c r="E7" s="7" t="inlineStr">
        <is>
          <t>semi_annual</t>
        </is>
      </c>
      <c r="F7" s="7" t="n">
        <v>60</v>
      </c>
      <c r="G7" s="7" t="inlineStr"/>
      <c r="H7" s="7" t="inlineStr">
        <is>
          <t>modified_following</t>
        </is>
      </c>
      <c r="I7" s="7" t="n">
        <v>10</v>
      </c>
      <c r="J7" s="7" t="inlineStr">
        <is>
          <t>potential_default</t>
        </is>
      </c>
      <c r="K7" s="26" t="inlineStr">
        <is>
          <t>operational</t>
        </is>
      </c>
      <c r="L7" s="7" t="n"/>
      <c r="M7" s="7" t="n"/>
    </row>
    <row r="8">
      <c r="A8" s="26" t="inlineStr">
        <is>
          <t>INFO-005</t>
        </is>
      </c>
      <c r="B8" s="26" t="inlineStr">
        <is>
          <t>Covenant Ratio Calculations</t>
        </is>
      </c>
      <c r="C8" s="7" t="inlineStr">
        <is>
          <t>Yes</t>
        </is>
      </c>
      <c r="D8" s="7" t="inlineStr">
        <is>
          <t>borrower</t>
        </is>
      </c>
      <c r="E8" s="7" t="inlineStr">
        <is>
          <t>semi_annual</t>
        </is>
      </c>
      <c r="F8" s="7" t="n">
        <v>60</v>
      </c>
      <c r="G8" s="7" t="inlineStr"/>
      <c r="H8" s="7" t="inlineStr">
        <is>
          <t>modified_following</t>
        </is>
      </c>
      <c r="I8" s="7" t="n">
        <v>10</v>
      </c>
      <c r="J8" s="7" t="inlineStr">
        <is>
          <t>potential_default</t>
        </is>
      </c>
      <c r="K8" s="26" t="inlineStr">
        <is>
          <t>operational</t>
        </is>
      </c>
      <c r="L8" s="7" t="n"/>
      <c r="M8" s="7" t="n"/>
    </row>
    <row r="9">
      <c r="A9" s="26" t="inlineStr">
        <is>
          <t>INFO-006</t>
        </is>
      </c>
      <c r="B9" s="26" t="inlineStr">
        <is>
          <t>Insurance Certificate / Renewal</t>
        </is>
      </c>
      <c r="C9" s="7" t="inlineStr">
        <is>
          <t>Yes</t>
        </is>
      </c>
      <c r="D9" s="7" t="inlineStr">
        <is>
          <t>borrower</t>
        </is>
      </c>
      <c r="E9" s="7" t="inlineStr">
        <is>
          <t>annual</t>
        </is>
      </c>
      <c r="F9" s="7" t="n">
        <v>30</v>
      </c>
      <c r="G9" s="7" t="inlineStr"/>
      <c r="H9" s="7" t="inlineStr">
        <is>
          <t>modified_following</t>
        </is>
      </c>
      <c r="I9" s="7" t="n">
        <v>5</v>
      </c>
      <c r="J9" s="7" t="inlineStr">
        <is>
          <t>potential_default</t>
        </is>
      </c>
      <c r="K9" s="26" t="inlineStr">
        <is>
          <t>operational</t>
        </is>
      </c>
      <c r="L9" s="7" t="n"/>
      <c r="M9" s="7" t="n"/>
    </row>
    <row r="10">
      <c r="A10" s="26" t="inlineStr">
        <is>
          <t>INFO-007</t>
        </is>
      </c>
      <c r="B10" s="26" t="inlineStr">
        <is>
          <t>Valuation Report</t>
        </is>
      </c>
      <c r="C10" s="7" t="inlineStr">
        <is>
          <t>Yes</t>
        </is>
      </c>
      <c r="D10" s="7" t="inlineStr">
        <is>
          <t>borrower</t>
        </is>
      </c>
      <c r="E10" s="7" t="inlineStr">
        <is>
          <t>annual</t>
        </is>
      </c>
      <c r="F10" s="7" t="n">
        <v>90</v>
      </c>
      <c r="G10" s="7" t="inlineStr"/>
      <c r="H10" s="7" t="inlineStr">
        <is>
          <t>modified_following</t>
        </is>
      </c>
      <c r="I10" s="7" t="n">
        <v>10</v>
      </c>
      <c r="J10" s="7" t="inlineStr">
        <is>
          <t>informational</t>
        </is>
      </c>
      <c r="K10" s="26" t="inlineStr">
        <is>
          <t>operational</t>
        </is>
      </c>
      <c r="L10" s="7" t="n"/>
      <c r="M10" s="7" t="n"/>
    </row>
    <row r="11">
      <c r="A11" s="26" t="inlineStr">
        <is>
          <t>INFO-008</t>
        </is>
      </c>
      <c r="B11" s="26" t="inlineStr">
        <is>
          <t>Environmental Compliance Certificate</t>
        </is>
      </c>
      <c r="C11" s="7" t="inlineStr">
        <is>
          <t>No</t>
        </is>
      </c>
      <c r="D11" s="7" t="inlineStr">
        <is>
          <t>borrower</t>
        </is>
      </c>
      <c r="E11" s="7" t="inlineStr">
        <is>
          <t>annual</t>
        </is>
      </c>
      <c r="F11" s="7" t="n">
        <v>90</v>
      </c>
      <c r="G11" s="7" t="inlineStr"/>
      <c r="H11" s="7" t="inlineStr">
        <is>
          <t>modified_following</t>
        </is>
      </c>
      <c r="I11" s="7" t="n">
        <v>10</v>
      </c>
      <c r="J11" s="7" t="inlineStr">
        <is>
          <t>informational</t>
        </is>
      </c>
      <c r="K11" s="26" t="inlineStr">
        <is>
          <t>operational</t>
        </is>
      </c>
      <c r="L11" s="7" t="n"/>
      <c r="M11" s="7" t="n"/>
    </row>
    <row r="12">
      <c r="A12" s="26" t="inlineStr">
        <is>
          <t>INFO-009</t>
        </is>
      </c>
      <c r="B12" s="26" t="inlineStr">
        <is>
          <t>Model Update / Reforecast</t>
        </is>
      </c>
      <c r="C12" s="7" t="inlineStr">
        <is>
          <t>Yes</t>
        </is>
      </c>
      <c r="D12" s="7" t="inlineStr">
        <is>
          <t>borrower</t>
        </is>
      </c>
      <c r="E12" s="7" t="inlineStr">
        <is>
          <t>annual</t>
        </is>
      </c>
      <c r="F12" s="7" t="n">
        <v>120</v>
      </c>
      <c r="G12" s="7" t="inlineStr"/>
      <c r="H12" s="7" t="inlineStr">
        <is>
          <t>modified_following</t>
        </is>
      </c>
      <c r="I12" s="7" t="n">
        <v>15</v>
      </c>
      <c r="J12" s="7" t="inlineStr">
        <is>
          <t>informational</t>
        </is>
      </c>
      <c r="K12" s="26" t="inlineStr">
        <is>
          <t>operational</t>
        </is>
      </c>
      <c r="L12" s="7" t="n"/>
      <c r="M12" s="7" t="n"/>
    </row>
    <row r="13">
      <c r="A13" s="26" t="inlineStr">
        <is>
          <t>INFO-010</t>
        </is>
      </c>
      <c r="B13" s="26" t="inlineStr">
        <is>
          <t>Cash Sweep / Excess Cashflow Certificate</t>
        </is>
      </c>
      <c r="C13" s="7" t="inlineStr">
        <is>
          <t>Yes</t>
        </is>
      </c>
      <c r="D13" s="7" t="inlineStr">
        <is>
          <t>agent</t>
        </is>
      </c>
      <c r="E13" s="7" t="inlineStr">
        <is>
          <t>semi_annual</t>
        </is>
      </c>
      <c r="F13" s="7" t="n">
        <v>60</v>
      </c>
      <c r="G13" s="7" t="inlineStr"/>
      <c r="H13" s="7" t="inlineStr">
        <is>
          <t>modified_following</t>
        </is>
      </c>
      <c r="I13" s="7" t="n">
        <v>5</v>
      </c>
      <c r="J13" s="7" t="inlineStr">
        <is>
          <t>potential_default</t>
        </is>
      </c>
      <c r="K13" s="26" t="inlineStr">
        <is>
          <t>operational</t>
        </is>
      </c>
      <c r="L13" s="7" t="n"/>
      <c r="M13" s="7" t="n"/>
    </row>
    <row r="14">
      <c r="A14" s="26" t="inlineStr">
        <is>
          <t>NOTIF-001</t>
        </is>
      </c>
      <c r="B14" s="26" t="inlineStr">
        <is>
          <t>Change of Control Notification</t>
        </is>
      </c>
      <c r="C14" s="7" t="inlineStr">
        <is>
          <t>Yes</t>
        </is>
      </c>
      <c r="D14" s="7" t="inlineStr">
        <is>
          <t>borrower</t>
        </is>
      </c>
      <c r="E14" s="7" t="inlineStr">
        <is>
          <t>event_driven</t>
        </is>
      </c>
      <c r="F14" s="7" t="n">
        <v>0</v>
      </c>
      <c r="G14" s="7" t="inlineStr"/>
      <c r="H14" s="7" t="inlineStr">
        <is>
          <t>no_adjustment</t>
        </is>
      </c>
      <c r="I14" s="7" t="n">
        <v>5</v>
      </c>
      <c r="J14" s="7" t="inlineStr">
        <is>
          <t>event_of_default</t>
        </is>
      </c>
      <c r="K14" s="26" t="inlineStr">
        <is>
          <t>all</t>
        </is>
      </c>
      <c r="L14" s="7" t="n"/>
      <c r="M14" s="7" t="n"/>
    </row>
    <row r="15">
      <c r="A15" s="26" t="inlineStr">
        <is>
          <t>NOTIF-002</t>
        </is>
      </c>
      <c r="B15" s="26" t="inlineStr">
        <is>
          <t>Default / Potential Default Notification</t>
        </is>
      </c>
      <c r="C15" s="7" t="inlineStr">
        <is>
          <t>Yes</t>
        </is>
      </c>
      <c r="D15" s="7" t="inlineStr">
        <is>
          <t>borrower</t>
        </is>
      </c>
      <c r="E15" s="7" t="inlineStr">
        <is>
          <t>event_driven</t>
        </is>
      </c>
      <c r="F15" s="7" t="n">
        <v>0</v>
      </c>
      <c r="G15" s="7" t="inlineStr"/>
      <c r="H15" s="7" t="inlineStr">
        <is>
          <t>no_adjustment</t>
        </is>
      </c>
      <c r="I15" s="7" t="n">
        <v>2</v>
      </c>
      <c r="J15" s="7" t="inlineStr">
        <is>
          <t>event_of_default</t>
        </is>
      </c>
      <c r="K15" s="26" t="inlineStr">
        <is>
          <t>all</t>
        </is>
      </c>
      <c r="L15" s="7" t="n"/>
      <c r="M15" s="7" t="n"/>
    </row>
    <row r="16">
      <c r="A16" s="26" t="inlineStr">
        <is>
          <t>NOTIF-003</t>
        </is>
      </c>
      <c r="B16" s="26" t="inlineStr">
        <is>
          <t>Material Adverse Change Notification</t>
        </is>
      </c>
      <c r="C16" s="7" t="inlineStr">
        <is>
          <t>Yes</t>
        </is>
      </c>
      <c r="D16" s="7" t="inlineStr">
        <is>
          <t>borrower</t>
        </is>
      </c>
      <c r="E16" s="7" t="inlineStr">
        <is>
          <t>event_driven</t>
        </is>
      </c>
      <c r="F16" s="7" t="n">
        <v>0</v>
      </c>
      <c r="G16" s="7" t="inlineStr"/>
      <c r="H16" s="7" t="inlineStr">
        <is>
          <t>no_adjustment</t>
        </is>
      </c>
      <c r="I16" s="7" t="n">
        <v>5</v>
      </c>
      <c r="J16" s="7" t="inlineStr">
        <is>
          <t>potential_default</t>
        </is>
      </c>
      <c r="K16" s="26" t="inlineStr">
        <is>
          <t>all</t>
        </is>
      </c>
      <c r="L16" s="7" t="n"/>
      <c r="M16" s="7" t="n"/>
    </row>
    <row r="17">
      <c r="A17" s="26" t="inlineStr">
        <is>
          <t>NOTIF-004</t>
        </is>
      </c>
      <c r="B17" s="26" t="inlineStr">
        <is>
          <t>Litigation / Claims Notification</t>
        </is>
      </c>
      <c r="C17" s="7" t="inlineStr">
        <is>
          <t>Yes</t>
        </is>
      </c>
      <c r="D17" s="7" t="inlineStr">
        <is>
          <t>borrower</t>
        </is>
      </c>
      <c r="E17" s="7" t="inlineStr">
        <is>
          <t>event_driven</t>
        </is>
      </c>
      <c r="F17" s="7" t="n">
        <v>0</v>
      </c>
      <c r="G17" s="7" t="inlineStr"/>
      <c r="H17" s="7" t="inlineStr">
        <is>
          <t>no_adjustment</t>
        </is>
      </c>
      <c r="I17" s="7" t="n">
        <v>10</v>
      </c>
      <c r="J17" s="7" t="inlineStr">
        <is>
          <t>informational</t>
        </is>
      </c>
      <c r="K17" s="26" t="inlineStr">
        <is>
          <t>all</t>
        </is>
      </c>
      <c r="L17" s="7" t="n"/>
      <c r="M17" s="7" t="n"/>
    </row>
    <row r="18">
      <c r="A18" s="26" t="inlineStr">
        <is>
          <t>NOTIF-005</t>
        </is>
      </c>
      <c r="B18" s="26" t="inlineStr">
        <is>
          <t>Environmental Incident Notification</t>
        </is>
      </c>
      <c r="C18" s="7" t="inlineStr">
        <is>
          <t>No</t>
        </is>
      </c>
      <c r="D18" s="7" t="inlineStr">
        <is>
          <t>borrower</t>
        </is>
      </c>
      <c r="E18" s="7" t="inlineStr">
        <is>
          <t>event_driven</t>
        </is>
      </c>
      <c r="F18" s="7" t="n">
        <v>0</v>
      </c>
      <c r="G18" s="7" t="inlineStr"/>
      <c r="H18" s="7" t="inlineStr">
        <is>
          <t>no_adjustment</t>
        </is>
      </c>
      <c r="I18" s="7" t="n">
        <v>5</v>
      </c>
      <c r="J18" s="7" t="inlineStr">
        <is>
          <t>informational</t>
        </is>
      </c>
      <c r="K18" s="26" t="inlineStr">
        <is>
          <t>all</t>
        </is>
      </c>
      <c r="L18" s="7" t="n"/>
      <c r="M18" s="7" t="n"/>
    </row>
    <row r="19">
      <c r="A19" s="26" t="inlineStr">
        <is>
          <t>AFF-001</t>
        </is>
      </c>
      <c r="B19" s="26" t="inlineStr">
        <is>
          <t>Pari Passu Ranking Confirmation</t>
        </is>
      </c>
      <c r="C19" s="7" t="inlineStr">
        <is>
          <t>Yes</t>
        </is>
      </c>
      <c r="D19" s="7" t="inlineStr">
        <is>
          <t>borrower</t>
        </is>
      </c>
      <c r="E19" s="7" t="inlineStr">
        <is>
          <t>annual</t>
        </is>
      </c>
      <c r="F19" s="7" t="n">
        <v>60</v>
      </c>
      <c r="G19" s="7" t="inlineStr"/>
      <c r="H19" s="7" t="inlineStr">
        <is>
          <t>modified_following</t>
        </is>
      </c>
      <c r="I19" s="7" t="n">
        <v>10</v>
      </c>
      <c r="J19" s="7" t="inlineStr">
        <is>
          <t>potential_default</t>
        </is>
      </c>
      <c r="K19" s="26" t="inlineStr">
        <is>
          <t>operational</t>
        </is>
      </c>
      <c r="L19" s="7" t="n"/>
      <c r="M19" s="7" t="n"/>
    </row>
    <row r="20">
      <c r="A20" s="26" t="inlineStr">
        <is>
          <t>AFF-002</t>
        </is>
      </c>
      <c r="B20" s="26" t="inlineStr">
        <is>
          <t>No Default Certificate</t>
        </is>
      </c>
      <c r="C20" s="7" t="inlineStr">
        <is>
          <t>Yes</t>
        </is>
      </c>
      <c r="D20" s="7" t="inlineStr">
        <is>
          <t>borrower</t>
        </is>
      </c>
      <c r="E20" s="7" t="inlineStr">
        <is>
          <t>semi_annual</t>
        </is>
      </c>
      <c r="F20" s="7" t="n">
        <v>60</v>
      </c>
      <c r="G20" s="7" t="inlineStr"/>
      <c r="H20" s="7" t="inlineStr">
        <is>
          <t>modified_following</t>
        </is>
      </c>
      <c r="I20" s="7" t="n">
        <v>5</v>
      </c>
      <c r="J20" s="7" t="inlineStr">
        <is>
          <t>potential_default</t>
        </is>
      </c>
      <c r="K20" s="26" t="inlineStr">
        <is>
          <t>operational</t>
        </is>
      </c>
      <c r="L20" s="7" t="n"/>
      <c r="M20" s="7" t="n"/>
    </row>
    <row r="21">
      <c r="A21" s="26" t="inlineStr">
        <is>
          <t>AFF-003</t>
        </is>
      </c>
      <c r="B21" s="26" t="inlineStr">
        <is>
          <t>Authorisations in Full Force</t>
        </is>
      </c>
      <c r="C21" s="7" t="inlineStr">
        <is>
          <t>Yes</t>
        </is>
      </c>
      <c r="D21" s="7" t="inlineStr">
        <is>
          <t>borrower</t>
        </is>
      </c>
      <c r="E21" s="7" t="inlineStr">
        <is>
          <t>annual</t>
        </is>
      </c>
      <c r="F21" s="7" t="n">
        <v>60</v>
      </c>
      <c r="G21" s="7" t="inlineStr"/>
      <c r="H21" s="7" t="inlineStr">
        <is>
          <t>modified_following</t>
        </is>
      </c>
      <c r="I21" s="7" t="n">
        <v>10</v>
      </c>
      <c r="J21" s="7" t="inlineStr">
        <is>
          <t>potential_default</t>
        </is>
      </c>
      <c r="K21" s="26" t="inlineStr">
        <is>
          <t>operational</t>
        </is>
      </c>
      <c r="L21" s="7" t="n"/>
      <c r="M21" s="7" t="n"/>
    </row>
    <row r="22">
      <c r="A22" s="26" t="inlineStr">
        <is>
          <t>EOD-001</t>
        </is>
      </c>
      <c r="B22" s="26" t="inlineStr">
        <is>
          <t>Payment Default</t>
        </is>
      </c>
      <c r="C22" s="7" t="inlineStr">
        <is>
          <t>Yes</t>
        </is>
      </c>
      <c r="D22" s="7" t="inlineStr">
        <is>
          <t>borrower</t>
        </is>
      </c>
      <c r="E22" s="7" t="inlineStr">
        <is>
          <t>event_driven</t>
        </is>
      </c>
      <c r="F22" s="7" t="n">
        <v>0</v>
      </c>
      <c r="G22" s="7" t="inlineStr"/>
      <c r="H22" s="7" t="inlineStr">
        <is>
          <t>no_adjustment</t>
        </is>
      </c>
      <c r="I22" s="7" t="n">
        <v>0</v>
      </c>
      <c r="J22" s="7" t="inlineStr">
        <is>
          <t>event_of_default</t>
        </is>
      </c>
      <c r="K22" s="26" t="inlineStr">
        <is>
          <t>all</t>
        </is>
      </c>
      <c r="L22" s="7" t="n"/>
      <c r="M22" s="7" t="n"/>
    </row>
    <row r="23">
      <c r="A23" s="26" t="inlineStr">
        <is>
          <t>EOD-002</t>
        </is>
      </c>
      <c r="B23" s="26" t="inlineStr">
        <is>
          <t>Financial Covenant Breach</t>
        </is>
      </c>
      <c r="C23" s="7" t="inlineStr">
        <is>
          <t>Yes</t>
        </is>
      </c>
      <c r="D23" s="7" t="inlineStr">
        <is>
          <t>borrower</t>
        </is>
      </c>
      <c r="E23" s="7" t="inlineStr">
        <is>
          <t>event_driven</t>
        </is>
      </c>
      <c r="F23" s="7" t="n">
        <v>0</v>
      </c>
      <c r="G23" s="7" t="inlineStr"/>
      <c r="H23" s="7" t="inlineStr">
        <is>
          <t>no_adjustment</t>
        </is>
      </c>
      <c r="I23" s="7" t="n">
        <v>0</v>
      </c>
      <c r="J23" s="7" t="inlineStr">
        <is>
          <t>event_of_default</t>
        </is>
      </c>
      <c r="K23" s="26" t="inlineStr">
        <is>
          <t>all</t>
        </is>
      </c>
      <c r="L23" s="7" t="n"/>
      <c r="M23" s="7" t="n"/>
    </row>
    <row r="24">
      <c r="A24" s="7" t="n"/>
      <c r="B24" s="7" t="n"/>
      <c r="C24" s="7" t="n"/>
      <c r="D24" s="7" t="n"/>
      <c r="E24" s="7" t="n"/>
      <c r="F24" s="7" t="n"/>
      <c r="G24" s="7" t="n"/>
      <c r="H24" s="7" t="n"/>
      <c r="I24" s="7" t="n"/>
      <c r="J24" s="7" t="n"/>
      <c r="K24" s="7" t="n"/>
      <c r="L24" s="7" t="n"/>
      <c r="M24" s="7" t="n"/>
    </row>
    <row r="25">
      <c r="A25" s="7" t="n"/>
      <c r="B25" s="7" t="n"/>
      <c r="C25" s="7" t="n"/>
      <c r="D25" s="7" t="n"/>
      <c r="E25" s="7" t="n"/>
      <c r="F25" s="7" t="n"/>
      <c r="G25" s="7" t="n"/>
      <c r="H25" s="7" t="n"/>
      <c r="I25" s="7" t="n"/>
      <c r="J25" s="7" t="n"/>
      <c r="K25" s="7" t="n"/>
      <c r="L25" s="7" t="n"/>
      <c r="M25" s="7" t="n"/>
    </row>
    <row r="26">
      <c r="A26" s="7" t="n"/>
      <c r="B26" s="7" t="n"/>
      <c r="C26" s="7" t="n"/>
      <c r="D26" s="7" t="n"/>
      <c r="E26" s="7" t="n"/>
      <c r="F26" s="7" t="n"/>
      <c r="G26" s="7" t="n"/>
      <c r="H26" s="7" t="n"/>
      <c r="I26" s="7" t="n"/>
      <c r="J26" s="7" t="n"/>
      <c r="K26" s="7" t="n"/>
      <c r="L26" s="7" t="n"/>
      <c r="M26" s="7" t="n"/>
    </row>
    <row r="27">
      <c r="A27" s="7" t="n"/>
      <c r="B27" s="7" t="n"/>
      <c r="C27" s="7" t="n"/>
      <c r="D27" s="7" t="n"/>
      <c r="E27" s="7" t="n"/>
      <c r="F27" s="7" t="n"/>
      <c r="G27" s="7" t="n"/>
      <c r="H27" s="7" t="n"/>
      <c r="I27" s="7" t="n"/>
      <c r="J27" s="7" t="n"/>
      <c r="K27" s="7" t="n"/>
      <c r="L27" s="7" t="n"/>
      <c r="M27" s="7" t="n"/>
    </row>
    <row r="28">
      <c r="A28" s="7" t="n"/>
      <c r="B28" s="7" t="n"/>
      <c r="C28" s="7" t="n"/>
      <c r="D28" s="7" t="n"/>
      <c r="E28" s="7" t="n"/>
      <c r="F28" s="7" t="n"/>
      <c r="G28" s="7" t="n"/>
      <c r="H28" s="7" t="n"/>
      <c r="I28" s="7" t="n"/>
      <c r="J28" s="7" t="n"/>
      <c r="K28" s="7" t="n"/>
      <c r="L28" s="7" t="n"/>
      <c r="M28" s="7" t="n"/>
    </row>
    <row r="29">
      <c r="A29" s="7" t="n"/>
      <c r="B29" s="7" t="n"/>
      <c r="C29" s="7" t="n"/>
      <c r="D29" s="7" t="n"/>
      <c r="E29" s="7" t="n"/>
      <c r="F29" s="7" t="n"/>
      <c r="G29" s="7" t="n"/>
      <c r="H29" s="7" t="n"/>
      <c r="I29" s="7" t="n"/>
      <c r="J29" s="7" t="n"/>
      <c r="K29" s="7" t="n"/>
      <c r="L29" s="7" t="n"/>
      <c r="M29" s="7" t="n"/>
    </row>
    <row r="30">
      <c r="A30" s="7" t="n"/>
      <c r="B30" s="7" t="n"/>
      <c r="C30" s="7" t="n"/>
      <c r="D30" s="7" t="n"/>
      <c r="E30" s="7" t="n"/>
      <c r="F30" s="7" t="n"/>
      <c r="G30" s="7" t="n"/>
      <c r="H30" s="7" t="n"/>
      <c r="I30" s="7" t="n"/>
      <c r="J30" s="7" t="n"/>
      <c r="K30" s="7" t="n"/>
      <c r="L30" s="7" t="n"/>
      <c r="M30" s="7" t="n"/>
    </row>
    <row r="31">
      <c r="A31" s="7" t="n"/>
      <c r="B31" s="7" t="n"/>
      <c r="C31" s="7" t="n"/>
      <c r="D31" s="7" t="n"/>
      <c r="E31" s="7" t="n"/>
      <c r="F31" s="7" t="n"/>
      <c r="G31" s="7" t="n"/>
      <c r="H31" s="7" t="n"/>
      <c r="I31" s="7" t="n"/>
      <c r="J31" s="7" t="n"/>
      <c r="K31" s="7" t="n"/>
      <c r="L31" s="7" t="n"/>
      <c r="M31" s="7" t="n"/>
    </row>
    <row r="32">
      <c r="A32" s="7" t="n"/>
      <c r="B32" s="7" t="n"/>
      <c r="C32" s="7" t="n"/>
      <c r="D32" s="7" t="n"/>
      <c r="E32" s="7" t="n"/>
      <c r="F32" s="7" t="n"/>
      <c r="G32" s="7" t="n"/>
      <c r="H32" s="7" t="n"/>
      <c r="I32" s="7" t="n"/>
      <c r="J32" s="7" t="n"/>
      <c r="K32" s="7" t="n"/>
      <c r="L32" s="7" t="n"/>
      <c r="M32" s="7" t="n"/>
    </row>
    <row r="33">
      <c r="A33" s="7" t="n"/>
      <c r="B33" s="7" t="n"/>
      <c r="C33" s="7" t="n"/>
      <c r="D33" s="7" t="n"/>
      <c r="E33" s="7" t="n"/>
      <c r="F33" s="7" t="n"/>
      <c r="G33" s="7" t="n"/>
      <c r="H33" s="7" t="n"/>
      <c r="I33" s="7" t="n"/>
      <c r="J33" s="7" t="n"/>
      <c r="K33" s="7" t="n"/>
      <c r="L33" s="7" t="n"/>
      <c r="M33" s="7" t="n"/>
    </row>
    <row r="34">
      <c r="A34" s="7" t="n"/>
      <c r="B34" s="7" t="n"/>
      <c r="C34" s="7" t="n"/>
      <c r="D34" s="7" t="n"/>
      <c r="E34" s="7" t="n"/>
      <c r="F34" s="7" t="n"/>
      <c r="G34" s="7" t="n"/>
      <c r="H34" s="7" t="n"/>
      <c r="I34" s="7" t="n"/>
      <c r="J34" s="7" t="n"/>
      <c r="K34" s="7" t="n"/>
      <c r="L34" s="7" t="n"/>
      <c r="M34" s="7" t="n"/>
    </row>
    <row r="35">
      <c r="A35" s="7" t="n"/>
      <c r="B35" s="7" t="n"/>
      <c r="C35" s="7" t="n"/>
      <c r="D35" s="7" t="n"/>
      <c r="E35" s="7" t="n"/>
      <c r="F35" s="7" t="n"/>
      <c r="G35" s="7" t="n"/>
      <c r="H35" s="7" t="n"/>
      <c r="I35" s="7" t="n"/>
      <c r="J35" s="7" t="n"/>
      <c r="K35" s="7" t="n"/>
      <c r="L35" s="7" t="n"/>
      <c r="M35" s="7" t="n"/>
    </row>
    <row r="36">
      <c r="A36" s="7" t="n"/>
      <c r="B36" s="7" t="n"/>
      <c r="C36" s="7" t="n"/>
      <c r="D36" s="7" t="n"/>
      <c r="E36" s="7" t="n"/>
      <c r="F36" s="7" t="n"/>
      <c r="G36" s="7" t="n"/>
      <c r="H36" s="7" t="n"/>
      <c r="I36" s="7" t="n"/>
      <c r="J36" s="7" t="n"/>
      <c r="K36" s="7" t="n"/>
      <c r="L36" s="7" t="n"/>
      <c r="M36" s="7" t="n"/>
    </row>
    <row r="37">
      <c r="A37" s="7" t="n"/>
      <c r="B37" s="7" t="n"/>
      <c r="C37" s="7" t="n"/>
      <c r="D37" s="7" t="n"/>
      <c r="E37" s="7" t="n"/>
      <c r="F37" s="7" t="n"/>
      <c r="G37" s="7" t="n"/>
      <c r="H37" s="7" t="n"/>
      <c r="I37" s="7" t="n"/>
      <c r="J37" s="7" t="n"/>
      <c r="K37" s="7" t="n"/>
      <c r="L37" s="7" t="n"/>
      <c r="M37" s="7" t="n"/>
    </row>
    <row r="38">
      <c r="A38" s="7" t="n"/>
      <c r="B38" s="7" t="n"/>
      <c r="C38" s="7" t="n"/>
      <c r="D38" s="7" t="n"/>
      <c r="E38" s="7" t="n"/>
      <c r="F38" s="7" t="n"/>
      <c r="G38" s="7" t="n"/>
      <c r="H38" s="7" t="n"/>
      <c r="I38" s="7" t="n"/>
      <c r="J38" s="7" t="n"/>
      <c r="K38" s="7" t="n"/>
      <c r="L38" s="7" t="n"/>
      <c r="M38" s="7" t="n"/>
    </row>
    <row r="39">
      <c r="A39" s="7" t="n"/>
      <c r="B39" s="7" t="n"/>
      <c r="C39" s="7" t="n"/>
      <c r="D39" s="7" t="n"/>
      <c r="E39" s="7" t="n"/>
      <c r="F39" s="7" t="n"/>
      <c r="G39" s="7" t="n"/>
      <c r="H39" s="7" t="n"/>
      <c r="I39" s="7" t="n"/>
      <c r="J39" s="7" t="n"/>
      <c r="K39" s="7" t="n"/>
      <c r="L39" s="7" t="n"/>
      <c r="M39" s="7" t="n"/>
    </row>
    <row r="40">
      <c r="A40" s="7" t="n"/>
      <c r="B40" s="7" t="n"/>
      <c r="C40" s="7" t="n"/>
      <c r="D40" s="7" t="n"/>
      <c r="E40" s="7" t="n"/>
      <c r="F40" s="7" t="n"/>
      <c r="G40" s="7" t="n"/>
      <c r="H40" s="7" t="n"/>
      <c r="I40" s="7" t="n"/>
      <c r="J40" s="7" t="n"/>
      <c r="K40" s="7" t="n"/>
      <c r="L40" s="7" t="n"/>
      <c r="M40" s="7" t="n"/>
    </row>
    <row r="41">
      <c r="A41" s="7" t="n"/>
      <c r="B41" s="7" t="n"/>
      <c r="C41" s="7" t="n"/>
      <c r="D41" s="7" t="n"/>
      <c r="E41" s="7" t="n"/>
      <c r="F41" s="7" t="n"/>
      <c r="G41" s="7" t="n"/>
      <c r="H41" s="7" t="n"/>
      <c r="I41" s="7" t="n"/>
      <c r="J41" s="7" t="n"/>
      <c r="K41" s="7" t="n"/>
      <c r="L41" s="7" t="n"/>
      <c r="M41" s="7" t="n"/>
    </row>
    <row r="42">
      <c r="A42" s="7" t="n"/>
      <c r="B42" s="7" t="n"/>
      <c r="C42" s="7" t="n"/>
      <c r="D42" s="7" t="n"/>
      <c r="E42" s="7" t="n"/>
      <c r="F42" s="7" t="n"/>
      <c r="G42" s="7" t="n"/>
      <c r="H42" s="7" t="n"/>
      <c r="I42" s="7" t="n"/>
      <c r="J42" s="7" t="n"/>
      <c r="K42" s="7" t="n"/>
      <c r="L42" s="7" t="n"/>
      <c r="M42" s="7" t="n"/>
    </row>
    <row r="43">
      <c r="A43" s="7" t="n"/>
      <c r="B43" s="7" t="n"/>
      <c r="C43" s="7" t="n"/>
      <c r="D43" s="7" t="n"/>
      <c r="E43" s="7" t="n"/>
      <c r="F43" s="7" t="n"/>
      <c r="G43" s="7" t="n"/>
      <c r="H43" s="7" t="n"/>
      <c r="I43" s="7" t="n"/>
      <c r="J43" s="7" t="n"/>
      <c r="K43" s="7" t="n"/>
      <c r="L43" s="7" t="n"/>
      <c r="M43" s="7" t="n"/>
    </row>
    <row r="44">
      <c r="A44" s="7" t="n"/>
      <c r="B44" s="7" t="n"/>
      <c r="C44" s="7" t="n"/>
      <c r="D44" s="7" t="n"/>
      <c r="E44" s="7" t="n"/>
      <c r="F44" s="7" t="n"/>
      <c r="G44" s="7" t="n"/>
      <c r="H44" s="7" t="n"/>
      <c r="I44" s="7" t="n"/>
      <c r="J44" s="7" t="n"/>
      <c r="K44" s="7" t="n"/>
      <c r="L44" s="7" t="n"/>
      <c r="M44" s="7" t="n"/>
    </row>
    <row r="45">
      <c r="A45" s="7" t="n"/>
      <c r="B45" s="7" t="n"/>
      <c r="C45" s="7" t="n"/>
      <c r="D45" s="7" t="n"/>
      <c r="E45" s="7" t="n"/>
      <c r="F45" s="7" t="n"/>
      <c r="G45" s="7" t="n"/>
      <c r="H45" s="7" t="n"/>
      <c r="I45" s="7" t="n"/>
      <c r="J45" s="7" t="n"/>
      <c r="K45" s="7" t="n"/>
      <c r="L45" s="7" t="n"/>
      <c r="M45" s="7" t="n"/>
    </row>
    <row r="46">
      <c r="A46" s="7" t="n"/>
      <c r="B46" s="7" t="n"/>
      <c r="C46" s="7" t="n"/>
      <c r="D46" s="7" t="n"/>
      <c r="E46" s="7" t="n"/>
      <c r="F46" s="7" t="n"/>
      <c r="G46" s="7" t="n"/>
      <c r="H46" s="7" t="n"/>
      <c r="I46" s="7" t="n"/>
      <c r="J46" s="7" t="n"/>
      <c r="K46" s="7" t="n"/>
      <c r="L46" s="7" t="n"/>
      <c r="M46" s="7" t="n"/>
    </row>
    <row r="47">
      <c r="A47" s="7" t="n"/>
      <c r="B47" s="7" t="n"/>
      <c r="C47" s="7" t="n"/>
      <c r="D47" s="7" t="n"/>
      <c r="E47" s="7" t="n"/>
      <c r="F47" s="7" t="n"/>
      <c r="G47" s="7" t="n"/>
      <c r="H47" s="7" t="n"/>
      <c r="I47" s="7" t="n"/>
      <c r="J47" s="7" t="n"/>
      <c r="K47" s="7" t="n"/>
      <c r="L47" s="7" t="n"/>
      <c r="M47" s="7" t="n"/>
    </row>
    <row r="48">
      <c r="A48" s="7" t="n"/>
      <c r="B48" s="7" t="n"/>
      <c r="C48" s="7" t="n"/>
      <c r="D48" s="7" t="n"/>
      <c r="E48" s="7" t="n"/>
      <c r="F48" s="7" t="n"/>
      <c r="G48" s="7" t="n"/>
      <c r="H48" s="7" t="n"/>
      <c r="I48" s="7" t="n"/>
      <c r="J48" s="7" t="n"/>
      <c r="K48" s="7" t="n"/>
      <c r="L48" s="7" t="n"/>
      <c r="M48" s="7" t="n"/>
    </row>
    <row r="49">
      <c r="A49" s="7" t="n"/>
      <c r="B49" s="7" t="n"/>
      <c r="C49" s="7" t="n"/>
      <c r="D49" s="7" t="n"/>
      <c r="E49" s="7" t="n"/>
      <c r="F49" s="7" t="n"/>
      <c r="G49" s="7" t="n"/>
      <c r="H49" s="7" t="n"/>
      <c r="I49" s="7" t="n"/>
      <c r="J49" s="7" t="n"/>
      <c r="K49" s="7" t="n"/>
      <c r="L49" s="7" t="n"/>
      <c r="M49" s="7" t="n"/>
    </row>
    <row r="50">
      <c r="A50" s="7" t="n"/>
      <c r="B50" s="7" t="n"/>
      <c r="C50" s="7" t="n"/>
      <c r="D50" s="7" t="n"/>
      <c r="E50" s="7" t="n"/>
      <c r="F50" s="7" t="n"/>
      <c r="G50" s="7" t="n"/>
      <c r="H50" s="7" t="n"/>
      <c r="I50" s="7" t="n"/>
      <c r="J50" s="7" t="n"/>
      <c r="K50" s="7" t="n"/>
      <c r="L50" s="7" t="n"/>
      <c r="M50" s="7" t="n"/>
    </row>
    <row r="51">
      <c r="A51" s="7" t="n"/>
      <c r="B51" s="7" t="n"/>
      <c r="C51" s="7" t="n"/>
      <c r="D51" s="7" t="n"/>
      <c r="E51" s="7" t="n"/>
      <c r="F51" s="7" t="n"/>
      <c r="G51" s="7" t="n"/>
      <c r="H51" s="7" t="n"/>
      <c r="I51" s="7" t="n"/>
      <c r="J51" s="7" t="n"/>
      <c r="K51" s="7" t="n"/>
      <c r="L51" s="7" t="n"/>
      <c r="M51" s="7" t="n"/>
    </row>
    <row r="52">
      <c r="A52" s="7" t="n"/>
      <c r="B52" s="7" t="n"/>
      <c r="C52" s="7" t="n"/>
      <c r="D52" s="7" t="n"/>
      <c r="E52" s="7" t="n"/>
      <c r="F52" s="7" t="n"/>
      <c r="G52" s="7" t="n"/>
      <c r="H52" s="7" t="n"/>
      <c r="I52" s="7" t="n"/>
      <c r="J52" s="7" t="n"/>
      <c r="K52" s="7" t="n"/>
      <c r="L52" s="7" t="n"/>
      <c r="M52" s="7" t="n"/>
    </row>
    <row r="53">
      <c r="A53" s="7" t="n"/>
      <c r="B53" s="7" t="n"/>
      <c r="C53" s="7" t="n"/>
      <c r="D53" s="7" t="n"/>
      <c r="E53" s="7" t="n"/>
      <c r="F53" s="7" t="n"/>
      <c r="G53" s="7" t="n"/>
      <c r="H53" s="7" t="n"/>
      <c r="I53" s="7" t="n"/>
      <c r="J53" s="7" t="n"/>
      <c r="K53" s="7" t="n"/>
      <c r="L53" s="7" t="n"/>
      <c r="M53" s="7" t="n"/>
    </row>
    <row r="54">
      <c r="A54" s="7" t="n"/>
      <c r="B54" s="7" t="n"/>
      <c r="C54" s="7" t="n"/>
      <c r="D54" s="7" t="n"/>
      <c r="E54" s="7" t="n"/>
      <c r="F54" s="7" t="n"/>
      <c r="G54" s="7" t="n"/>
      <c r="H54" s="7" t="n"/>
      <c r="I54" s="7" t="n"/>
      <c r="J54" s="7" t="n"/>
      <c r="K54" s="7" t="n"/>
      <c r="L54" s="7" t="n"/>
      <c r="M54" s="7" t="n"/>
    </row>
    <row r="55">
      <c r="A55" s="7" t="n"/>
      <c r="B55" s="7" t="n"/>
      <c r="C55" s="7" t="n"/>
      <c r="D55" s="7" t="n"/>
      <c r="E55" s="7" t="n"/>
      <c r="F55" s="7" t="n"/>
      <c r="G55" s="7" t="n"/>
      <c r="H55" s="7" t="n"/>
      <c r="I55" s="7" t="n"/>
      <c r="J55" s="7" t="n"/>
      <c r="K55" s="7" t="n"/>
      <c r="L55" s="7" t="n"/>
      <c r="M55" s="7" t="n"/>
    </row>
    <row r="56">
      <c r="A56" s="7" t="n"/>
      <c r="B56" s="7" t="n"/>
      <c r="C56" s="7" t="n"/>
      <c r="D56" s="7" t="n"/>
      <c r="E56" s="7" t="n"/>
      <c r="F56" s="7" t="n"/>
      <c r="G56" s="7" t="n"/>
      <c r="H56" s="7" t="n"/>
      <c r="I56" s="7" t="n"/>
      <c r="J56" s="7" t="n"/>
      <c r="K56" s="7" t="n"/>
      <c r="L56" s="7" t="n"/>
      <c r="M56" s="7" t="n"/>
    </row>
    <row r="57">
      <c r="A57" s="7" t="n"/>
      <c r="B57" s="7" t="n"/>
      <c r="C57" s="7" t="n"/>
      <c r="D57" s="7" t="n"/>
      <c r="E57" s="7" t="n"/>
      <c r="F57" s="7" t="n"/>
      <c r="G57" s="7" t="n"/>
      <c r="H57" s="7" t="n"/>
      <c r="I57" s="7" t="n"/>
      <c r="J57" s="7" t="n"/>
      <c r="K57" s="7" t="n"/>
      <c r="L57" s="7" t="n"/>
      <c r="M57" s="7" t="n"/>
    </row>
    <row r="58">
      <c r="A58" s="7" t="n"/>
      <c r="B58" s="7" t="n"/>
      <c r="C58" s="7" t="n"/>
      <c r="D58" s="7" t="n"/>
      <c r="E58" s="7" t="n"/>
      <c r="F58" s="7" t="n"/>
      <c r="G58" s="7" t="n"/>
      <c r="H58" s="7" t="n"/>
      <c r="I58" s="7" t="n"/>
      <c r="J58" s="7" t="n"/>
      <c r="K58" s="7" t="n"/>
      <c r="L58" s="7" t="n"/>
      <c r="M58" s="7" t="n"/>
    </row>
    <row r="59">
      <c r="A59" s="7" t="n"/>
      <c r="B59" s="7" t="n"/>
      <c r="C59" s="7" t="n"/>
      <c r="D59" s="7" t="n"/>
      <c r="E59" s="7" t="n"/>
      <c r="F59" s="7" t="n"/>
      <c r="G59" s="7" t="n"/>
      <c r="H59" s="7" t="n"/>
      <c r="I59" s="7" t="n"/>
      <c r="J59" s="7" t="n"/>
      <c r="K59" s="7" t="n"/>
      <c r="L59" s="7" t="n"/>
      <c r="M59" s="7" t="n"/>
    </row>
    <row r="60">
      <c r="A60" s="7" t="n"/>
      <c r="B60" s="7" t="n"/>
      <c r="C60" s="7" t="n"/>
      <c r="D60" s="7" t="n"/>
      <c r="E60" s="7" t="n"/>
      <c r="F60" s="7" t="n"/>
      <c r="G60" s="7" t="n"/>
      <c r="H60" s="7" t="n"/>
      <c r="I60" s="7" t="n"/>
      <c r="J60" s="7" t="n"/>
      <c r="K60" s="7" t="n"/>
      <c r="L60" s="7" t="n"/>
      <c r="M60" s="7" t="n"/>
    </row>
    <row r="61">
      <c r="A61" s="7" t="n"/>
      <c r="B61" s="7" t="n"/>
      <c r="C61" s="7" t="n"/>
      <c r="D61" s="7" t="n"/>
      <c r="E61" s="7" t="n"/>
      <c r="F61" s="7" t="n"/>
      <c r="G61" s="7" t="n"/>
      <c r="H61" s="7" t="n"/>
      <c r="I61" s="7" t="n"/>
      <c r="J61" s="7" t="n"/>
      <c r="K61" s="7" t="n"/>
      <c r="L61" s="7" t="n"/>
      <c r="M61" s="7" t="n"/>
    </row>
    <row r="62">
      <c r="A62" s="7" t="n"/>
      <c r="B62" s="7" t="n"/>
      <c r="C62" s="7" t="n"/>
      <c r="D62" s="7" t="n"/>
      <c r="E62" s="7" t="n"/>
      <c r="F62" s="7" t="n"/>
      <c r="G62" s="7" t="n"/>
      <c r="H62" s="7" t="n"/>
      <c r="I62" s="7" t="n"/>
      <c r="J62" s="7" t="n"/>
      <c r="K62" s="7" t="n"/>
      <c r="L62" s="7" t="n"/>
      <c r="M62" s="7" t="n"/>
    </row>
    <row r="63">
      <c r="A63" s="7" t="n"/>
      <c r="B63" s="7" t="n"/>
      <c r="C63" s="7" t="n"/>
      <c r="D63" s="7" t="n"/>
      <c r="E63" s="7" t="n"/>
      <c r="F63" s="7" t="n"/>
      <c r="G63" s="7" t="n"/>
      <c r="H63" s="7" t="n"/>
      <c r="I63" s="7" t="n"/>
      <c r="J63" s="7" t="n"/>
      <c r="K63" s="7" t="n"/>
      <c r="L63" s="7" t="n"/>
      <c r="M63" s="7" t="n"/>
    </row>
  </sheetData>
  <mergeCells count="1">
    <mergeCell ref="A1:M1"/>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showDropDown="0" showInputMessage="0" showErrorMessage="0" allowBlank="0" type="list">
      <formula1>"Yes,No"</formula1>
    </dataValidation>
    <dataValidation sqref="D4 D5 D6 D7 D8 D9 D10 D11 D12 D13 D14 D15 D16 D17 D18 D19 D20 D21 D22 D23 D24 D25 D26 D27 D28 D29 D30 D31 D32 D33 D34 D35 D36 D37 D38 D39 D40 D41 D42 D43 D44 D45 D46 D47 D48 D49 D50 D51 D52 D53 D54 D55 D56 D57 D58 D59 D60 D61 D62 D63" showDropDown="0" showInputMessage="0" showErrorMessage="0" allowBlank="0" type="list">
      <formula1>"borrower,auditor,agent,adviser,insurer"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"annual,semi_annual,quarterly,monthly,event_driven"</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0" type="list">
      <formula1>"modified_following,following,preceding,no_adjustment"</formula1>
    </dataValidation>
    <dataValidation sqref="J4 J5 J6 J7 J8 J9 J10 J11 J12 J13 J14 J15 J16 J17 J18 J19 J20 J21 J22 J23 J24 J25 J26 J27 J28 J29 J30 J31 J32 J33 J34 J35 J36 J37 J38 J39 J40 J41 J42 J43 J44 J45 J46 J47 J48 J49 J50 J51 J52 J53 J54 J55 J56 J57 J58 J59 J60 J61 J62 J63" showDropDown="0" showInputMessage="0" showErrorMessage="0" allowBlank="0" type="list">
      <formula1>"informational,potential_default,event_of_default"</formula1>
    </dataValidation>
    <dataValidation sqref="K4 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0" type="list">
      <formula1>"all,construction,operational"</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2" customWidth="1" min="3" max="3"/>
    <col width="25" customWidth="1" min="4" max="4"/>
    <col width="20" customWidth="1" min="5" max="5"/>
    <col width="8" customWidth="1" min="6" max="6"/>
    <col width="15" customWidth="1" min="7" max="7"/>
    <col width="25" customWidth="1" min="8" max="8"/>
    <col width="15" customWidth="1" min="9" max="9"/>
    <col width="18" customWidth="1" min="10" max="10"/>
    <col width="8" customWidth="1" min="11" max="11"/>
    <col width="30" customWidth="1" min="12" max="12"/>
    <col width="10" customWidth="1" min="13" max="13"/>
    <col width="35" customWidth="1" min="14" max="14"/>
    <col width="20" customWidth="1" min="15" max="15"/>
    <col width="50" customWidth="1" min="16" max="16"/>
  </cols>
  <sheetData>
    <row r="1" ht="40" customHeight="1">
      <c r="A1" s="11" t="inlineStr">
        <is>
          <t>DISTRIBUTION CONDITIONS — Record every condition that must be satisfied before cash can be distributed to equity. One row per condition. Use condition_category and consequence_tier enums.</t>
        </is>
      </c>
    </row>
    <row r="2">
      <c r="A2" s="3" t="inlineStr">
        <is>
          <t>Condition ID</t>
        </is>
      </c>
      <c r="B2" s="3" t="inlineStr">
        <is>
          <t>Condition Name</t>
        </is>
      </c>
      <c r="C2" s="3" t="inlineStr">
        <is>
          <t>Category</t>
        </is>
      </c>
      <c r="D2" s="3" t="inlineStr">
        <is>
          <t>Consequence Tier</t>
        </is>
      </c>
      <c r="E2" s="3" t="inlineStr">
        <is>
          <t>Ratio Name</t>
        </is>
      </c>
      <c r="F2" s="3" t="inlineStr">
        <is>
          <t>Direction</t>
        </is>
      </c>
      <c r="G2" s="3" t="inlineStr">
        <is>
          <t>Threshold Value</t>
        </is>
      </c>
      <c r="H2" s="3" t="inlineStr">
        <is>
          <t>Threshold Variant</t>
        </is>
      </c>
      <c r="I2" s="3" t="inlineStr">
        <is>
          <t>Lookback Period</t>
        </is>
      </c>
      <c r="J2" s="3" t="inlineStr">
        <is>
          <t>Test Frequency</t>
        </is>
      </c>
      <c r="K2" s="3" t="inlineStr">
        <is>
          <t>Remedy Available</t>
        </is>
      </c>
      <c r="L2" s="3" t="inlineStr">
        <is>
          <t>Remedy Mechanism</t>
        </is>
      </c>
      <c r="M2" s="3" t="inlineStr">
        <is>
          <t>Sweep %</t>
        </is>
      </c>
      <c r="N2" s="3" t="inlineStr">
        <is>
          <t>Sweep Step Schedule</t>
        </is>
      </c>
      <c r="O2" s="3" t="inlineStr">
        <is>
          <t>Source Clause</t>
        </is>
      </c>
      <c r="P2" s="3" t="inlineStr">
        <is>
          <t>Notes</t>
        </is>
      </c>
    </row>
    <row r="3" ht="55" customHeight="1">
      <c r="A3" s="8" t="inlineStr">
        <is>
          <t>DC-001, DC-002, etc.</t>
        </is>
      </c>
      <c r="B3" s="8" t="inlineStr">
        <is>
          <t>Short name from facility agreement</t>
        </is>
      </c>
      <c r="C3" s="8" t="inlineStr">
        <is>
          <t>ratio, reserve, compliance, timing, structural, behavioural, cash_sweep, credit_support, rating, liquidity, regulatory, capex_funding, incurrence, revolving_facility</t>
        </is>
      </c>
      <c r="D3" s="8" t="inlineStr">
        <is>
          <t>distribution_condition, trigger_event, cash_trap, remedial_plan, incurrence_test, event_of_default, sweep_mechanic</t>
        </is>
      </c>
      <c r="E3" s="8" t="inlineStr">
        <is>
          <t>seniorDscr, llcr, ltv, icr, netDebtEbitda, debtYield, seniorRar, seniorIcr. Null for non-ratio</t>
        </is>
      </c>
      <c r="F3" s="8" t="inlineStr">
        <is>
          <t>min or max. Null for non-ratio</t>
        </is>
      </c>
      <c r="G3" s="8" t="inlineStr">
        <is>
          <t>Decimal threshold (e.g. 1.35, 0.70). Null for non-ratio</t>
        </is>
      </c>
      <c r="H3" s="8" t="inlineStr">
        <is>
          <t>If threshold varies: pre_completion, post_completion, year_1, etc.</t>
        </is>
      </c>
      <c r="I3" s="8" t="inlineStr">
        <is>
          <t>historic_12m, projected_12m, projected_24m, spot, average</t>
        </is>
      </c>
      <c r="J3" s="8" t="inlineStr">
        <is>
          <t>semi_annual, quarterly, annual, each_distribution, event_driven</t>
        </is>
      </c>
      <c r="K3" s="8" t="inlineStr">
        <is>
          <t>Yes/No</t>
        </is>
      </c>
      <c r="L3" s="8" t="inlineStr">
        <is>
          <t>Cure mechanism: equity injection, reserve top-up, certificate, etc.</t>
        </is>
      </c>
      <c r="M3" s="8" t="inlineStr">
        <is>
          <t>For cash_sweep only: 0-100</t>
        </is>
      </c>
      <c r="N3" s="8" t="inlineStr">
        <is>
          <t>For stepped sweeps: Y1:25, Y2:50, Y3:75, Y4:100</t>
        </is>
      </c>
      <c r="O3" s="8" t="inlineStr">
        <is>
          <t>e.g. CTA 18.5(a)(iv), SFA Cl. 9.4</t>
        </is>
      </c>
      <c r="P3" s="8" t="inlineStr">
        <is>
          <t>Free text</t>
        </is>
      </c>
    </row>
    <row r="4">
      <c r="A4" s="7" t="n"/>
      <c r="B4" s="7" t="n"/>
      <c r="C4" s="7" t="n"/>
      <c r="D4" s="7" t="n"/>
      <c r="E4" s="7" t="n"/>
      <c r="F4" s="7" t="n"/>
      <c r="G4" s="7" t="n"/>
      <c r="H4" s="7" t="n"/>
      <c r="I4" s="7" t="n"/>
      <c r="J4" s="7" t="n"/>
      <c r="K4" s="7" t="n"/>
      <c r="L4" s="7" t="n"/>
      <c r="M4" s="7" t="n"/>
      <c r="N4" s="7" t="n"/>
      <c r="O4" s="7" t="n"/>
      <c r="P4" s="7" t="n"/>
    </row>
    <row r="5">
      <c r="A5" s="7" t="n"/>
      <c r="B5" s="7" t="n"/>
      <c r="C5" s="7" t="n"/>
      <c r="D5" s="7" t="n"/>
      <c r="E5" s="7" t="n"/>
      <c r="F5" s="7" t="n"/>
      <c r="G5" s="7" t="n"/>
      <c r="H5" s="7" t="n"/>
      <c r="I5" s="7" t="n"/>
      <c r="J5" s="7" t="n"/>
      <c r="K5" s="7" t="n"/>
      <c r="L5" s="7" t="n"/>
      <c r="M5" s="7" t="n"/>
      <c r="N5" s="7" t="n"/>
      <c r="O5" s="7" t="n"/>
      <c r="P5" s="7" t="n"/>
    </row>
    <row r="6">
      <c r="A6" s="7" t="n"/>
      <c r="B6" s="7" t="n"/>
      <c r="C6" s="7" t="n"/>
      <c r="D6" s="7" t="n"/>
      <c r="E6" s="7" t="n"/>
      <c r="F6" s="7" t="n"/>
      <c r="G6" s="7" t="n"/>
      <c r="H6" s="7" t="n"/>
      <c r="I6" s="7" t="n"/>
      <c r="J6" s="7" t="n"/>
      <c r="K6" s="7" t="n"/>
      <c r="L6" s="7" t="n"/>
      <c r="M6" s="7" t="n"/>
      <c r="N6" s="7" t="n"/>
      <c r="O6" s="7" t="n"/>
      <c r="P6" s="7" t="n"/>
    </row>
    <row r="7">
      <c r="A7" s="7" t="n"/>
      <c r="B7" s="7" t="n"/>
      <c r="C7" s="7" t="n"/>
      <c r="D7" s="7" t="n"/>
      <c r="E7" s="7" t="n"/>
      <c r="F7" s="7" t="n"/>
      <c r="G7" s="7" t="n"/>
      <c r="H7" s="7" t="n"/>
      <c r="I7" s="7" t="n"/>
      <c r="J7" s="7" t="n"/>
      <c r="K7" s="7" t="n"/>
      <c r="L7" s="7" t="n"/>
      <c r="M7" s="7" t="n"/>
      <c r="N7" s="7" t="n"/>
      <c r="O7" s="7" t="n"/>
      <c r="P7" s="7" t="n"/>
    </row>
    <row r="8">
      <c r="A8" s="7" t="n"/>
      <c r="B8" s="7" t="n"/>
      <c r="C8" s="7" t="n"/>
      <c r="D8" s="7" t="n"/>
      <c r="E8" s="7" t="n"/>
      <c r="F8" s="7" t="n"/>
      <c r="G8" s="7" t="n"/>
      <c r="H8" s="7" t="n"/>
      <c r="I8" s="7" t="n"/>
      <c r="J8" s="7" t="n"/>
      <c r="K8" s="7" t="n"/>
      <c r="L8" s="7" t="n"/>
      <c r="M8" s="7" t="n"/>
      <c r="N8" s="7" t="n"/>
      <c r="O8" s="7" t="n"/>
      <c r="P8" s="7" t="n"/>
    </row>
    <row r="9">
      <c r="A9" s="7" t="n"/>
      <c r="B9" s="7" t="n"/>
      <c r="C9" s="7" t="n"/>
      <c r="D9" s="7" t="n"/>
      <c r="E9" s="7" t="n"/>
      <c r="F9" s="7" t="n"/>
      <c r="G9" s="7" t="n"/>
      <c r="H9" s="7" t="n"/>
      <c r="I9" s="7" t="n"/>
      <c r="J9" s="7" t="n"/>
      <c r="K9" s="7" t="n"/>
      <c r="L9" s="7" t="n"/>
      <c r="M9" s="7" t="n"/>
      <c r="N9" s="7" t="n"/>
      <c r="O9" s="7" t="n"/>
      <c r="P9" s="7" t="n"/>
    </row>
    <row r="10">
      <c r="A10" s="7" t="n"/>
      <c r="B10" s="7" t="n"/>
      <c r="C10" s="7" t="n"/>
      <c r="D10" s="7" t="n"/>
      <c r="E10" s="7" t="n"/>
      <c r="F10" s="7" t="n"/>
      <c r="G10" s="7" t="n"/>
      <c r="H10" s="7" t="n"/>
      <c r="I10" s="7" t="n"/>
      <c r="J10" s="7" t="n"/>
      <c r="K10" s="7" t="n"/>
      <c r="L10" s="7" t="n"/>
      <c r="M10" s="7" t="n"/>
      <c r="N10" s="7" t="n"/>
      <c r="O10" s="7" t="n"/>
      <c r="P10" s="7" t="n"/>
    </row>
    <row r="11">
      <c r="A11" s="7" t="n"/>
      <c r="B11" s="7" t="n"/>
      <c r="C11" s="7" t="n"/>
      <c r="D11" s="7" t="n"/>
      <c r="E11" s="7" t="n"/>
      <c r="F11" s="7" t="n"/>
      <c r="G11" s="7" t="n"/>
      <c r="H11" s="7" t="n"/>
      <c r="I11" s="7" t="n"/>
      <c r="J11" s="7" t="n"/>
      <c r="K11" s="7" t="n"/>
      <c r="L11" s="7" t="n"/>
      <c r="M11" s="7" t="n"/>
      <c r="N11" s="7" t="n"/>
      <c r="O11" s="7" t="n"/>
      <c r="P11" s="7" t="n"/>
    </row>
    <row r="12">
      <c r="A12" s="7" t="n"/>
      <c r="B12" s="7" t="n"/>
      <c r="C12" s="7" t="n"/>
      <c r="D12" s="7" t="n"/>
      <c r="E12" s="7" t="n"/>
      <c r="F12" s="7" t="n"/>
      <c r="G12" s="7" t="n"/>
      <c r="H12" s="7" t="n"/>
      <c r="I12" s="7" t="n"/>
      <c r="J12" s="7" t="n"/>
      <c r="K12" s="7" t="n"/>
      <c r="L12" s="7" t="n"/>
      <c r="M12" s="7" t="n"/>
      <c r="N12" s="7" t="n"/>
      <c r="O12" s="7" t="n"/>
      <c r="P12" s="7" t="n"/>
    </row>
    <row r="13">
      <c r="A13" s="7" t="n"/>
      <c r="B13" s="7" t="n"/>
      <c r="C13" s="7" t="n"/>
      <c r="D13" s="7" t="n"/>
      <c r="E13" s="7" t="n"/>
      <c r="F13" s="7" t="n"/>
      <c r="G13" s="7" t="n"/>
      <c r="H13" s="7" t="n"/>
      <c r="I13" s="7" t="n"/>
      <c r="J13" s="7" t="n"/>
      <c r="K13" s="7" t="n"/>
      <c r="L13" s="7" t="n"/>
      <c r="M13" s="7" t="n"/>
      <c r="N13" s="7" t="n"/>
      <c r="O13" s="7" t="n"/>
      <c r="P13" s="7" t="n"/>
    </row>
    <row r="14">
      <c r="A14" s="7" t="n"/>
      <c r="B14" s="7" t="n"/>
      <c r="C14" s="7" t="n"/>
      <c r="D14" s="7" t="n"/>
      <c r="E14" s="7" t="n"/>
      <c r="F14" s="7" t="n"/>
      <c r="G14" s="7" t="n"/>
      <c r="H14" s="7" t="n"/>
      <c r="I14" s="7" t="n"/>
      <c r="J14" s="7" t="n"/>
      <c r="K14" s="7" t="n"/>
      <c r="L14" s="7" t="n"/>
      <c r="M14" s="7" t="n"/>
      <c r="N14" s="7" t="n"/>
      <c r="O14" s="7" t="n"/>
      <c r="P14" s="7" t="n"/>
    </row>
    <row r="15">
      <c r="A15" s="7" t="n"/>
      <c r="B15" s="7" t="n"/>
      <c r="C15" s="7" t="n"/>
      <c r="D15" s="7" t="n"/>
      <c r="E15" s="7" t="n"/>
      <c r="F15" s="7" t="n"/>
      <c r="G15" s="7" t="n"/>
      <c r="H15" s="7" t="n"/>
      <c r="I15" s="7" t="n"/>
      <c r="J15" s="7" t="n"/>
      <c r="K15" s="7" t="n"/>
      <c r="L15" s="7" t="n"/>
      <c r="M15" s="7" t="n"/>
      <c r="N15" s="7" t="n"/>
      <c r="O15" s="7" t="n"/>
      <c r="P15" s="7" t="n"/>
    </row>
    <row r="16">
      <c r="A16" s="7" t="n"/>
      <c r="B16" s="7" t="n"/>
      <c r="C16" s="7" t="n"/>
      <c r="D16" s="7" t="n"/>
      <c r="E16" s="7" t="n"/>
      <c r="F16" s="7" t="n"/>
      <c r="G16" s="7" t="n"/>
      <c r="H16" s="7" t="n"/>
      <c r="I16" s="7" t="n"/>
      <c r="J16" s="7" t="n"/>
      <c r="K16" s="7" t="n"/>
      <c r="L16" s="7" t="n"/>
      <c r="M16" s="7" t="n"/>
      <c r="N16" s="7" t="n"/>
      <c r="O16" s="7" t="n"/>
      <c r="P16" s="7" t="n"/>
    </row>
    <row r="17">
      <c r="A17" s="7" t="n"/>
      <c r="B17" s="7" t="n"/>
      <c r="C17" s="7" t="n"/>
      <c r="D17" s="7" t="n"/>
      <c r="E17" s="7" t="n"/>
      <c r="F17" s="7" t="n"/>
      <c r="G17" s="7" t="n"/>
      <c r="H17" s="7" t="n"/>
      <c r="I17" s="7" t="n"/>
      <c r="J17" s="7" t="n"/>
      <c r="K17" s="7" t="n"/>
      <c r="L17" s="7" t="n"/>
      <c r="M17" s="7" t="n"/>
      <c r="N17" s="7" t="n"/>
      <c r="O17" s="7" t="n"/>
      <c r="P17" s="7" t="n"/>
    </row>
    <row r="18">
      <c r="A18" s="7" t="n"/>
      <c r="B18" s="7" t="n"/>
      <c r="C18" s="7" t="n"/>
      <c r="D18" s="7" t="n"/>
      <c r="E18" s="7" t="n"/>
      <c r="F18" s="7" t="n"/>
      <c r="G18" s="7" t="n"/>
      <c r="H18" s="7" t="n"/>
      <c r="I18" s="7" t="n"/>
      <c r="J18" s="7" t="n"/>
      <c r="K18" s="7" t="n"/>
      <c r="L18" s="7" t="n"/>
      <c r="M18" s="7" t="n"/>
      <c r="N18" s="7" t="n"/>
      <c r="O18" s="7" t="n"/>
      <c r="P18" s="7" t="n"/>
    </row>
    <row r="19">
      <c r="A19" s="7" t="n"/>
      <c r="B19" s="7" t="n"/>
      <c r="C19" s="7" t="n"/>
      <c r="D19" s="7" t="n"/>
      <c r="E19" s="7" t="n"/>
      <c r="F19" s="7" t="n"/>
      <c r="G19" s="7" t="n"/>
      <c r="H19" s="7" t="n"/>
      <c r="I19" s="7" t="n"/>
      <c r="J19" s="7" t="n"/>
      <c r="K19" s="7" t="n"/>
      <c r="L19" s="7" t="n"/>
      <c r="M19" s="7" t="n"/>
      <c r="N19" s="7" t="n"/>
      <c r="O19" s="7" t="n"/>
      <c r="P19" s="7" t="n"/>
    </row>
    <row r="20">
      <c r="A20" s="7" t="n"/>
      <c r="B20" s="7" t="n"/>
      <c r="C20" s="7" t="n"/>
      <c r="D20" s="7" t="n"/>
      <c r="E20" s="7" t="n"/>
      <c r="F20" s="7" t="n"/>
      <c r="G20" s="7" t="n"/>
      <c r="H20" s="7" t="n"/>
      <c r="I20" s="7" t="n"/>
      <c r="J20" s="7" t="n"/>
      <c r="K20" s="7" t="n"/>
      <c r="L20" s="7" t="n"/>
      <c r="M20" s="7" t="n"/>
      <c r="N20" s="7" t="n"/>
      <c r="O20" s="7" t="n"/>
      <c r="P20" s="7" t="n"/>
    </row>
    <row r="21">
      <c r="A21" s="7" t="n"/>
      <c r="B21" s="7" t="n"/>
      <c r="C21" s="7" t="n"/>
      <c r="D21" s="7" t="n"/>
      <c r="E21" s="7" t="n"/>
      <c r="F21" s="7" t="n"/>
      <c r="G21" s="7" t="n"/>
      <c r="H21" s="7" t="n"/>
      <c r="I21" s="7" t="n"/>
      <c r="J21" s="7" t="n"/>
      <c r="K21" s="7" t="n"/>
      <c r="L21" s="7" t="n"/>
      <c r="M21" s="7" t="n"/>
      <c r="N21" s="7" t="n"/>
      <c r="O21" s="7" t="n"/>
      <c r="P21" s="7" t="n"/>
    </row>
    <row r="22">
      <c r="A22" s="7" t="n"/>
      <c r="B22" s="7" t="n"/>
      <c r="C22" s="7" t="n"/>
      <c r="D22" s="7" t="n"/>
      <c r="E22" s="7" t="n"/>
      <c r="F22" s="7" t="n"/>
      <c r="G22" s="7" t="n"/>
      <c r="H22" s="7" t="n"/>
      <c r="I22" s="7" t="n"/>
      <c r="J22" s="7" t="n"/>
      <c r="K22" s="7" t="n"/>
      <c r="L22" s="7" t="n"/>
      <c r="M22" s="7" t="n"/>
      <c r="N22" s="7" t="n"/>
      <c r="O22" s="7" t="n"/>
      <c r="P22" s="7" t="n"/>
    </row>
    <row r="23">
      <c r="A23" s="7" t="n"/>
      <c r="B23" s="7" t="n"/>
      <c r="C23" s="7" t="n"/>
      <c r="D23" s="7" t="n"/>
      <c r="E23" s="7" t="n"/>
      <c r="F23" s="7" t="n"/>
      <c r="G23" s="7" t="n"/>
      <c r="H23" s="7" t="n"/>
      <c r="I23" s="7" t="n"/>
      <c r="J23" s="7" t="n"/>
      <c r="K23" s="7" t="n"/>
      <c r="L23" s="7" t="n"/>
      <c r="M23" s="7" t="n"/>
      <c r="N23" s="7" t="n"/>
      <c r="O23" s="7" t="n"/>
      <c r="P23" s="7" t="n"/>
    </row>
    <row r="24">
      <c r="A24" s="7" t="n"/>
      <c r="B24" s="7" t="n"/>
      <c r="C24" s="7" t="n"/>
      <c r="D24" s="7" t="n"/>
      <c r="E24" s="7" t="n"/>
      <c r="F24" s="7" t="n"/>
      <c r="G24" s="7" t="n"/>
      <c r="H24" s="7" t="n"/>
      <c r="I24" s="7" t="n"/>
      <c r="J24" s="7" t="n"/>
      <c r="K24" s="7" t="n"/>
      <c r="L24" s="7" t="n"/>
      <c r="M24" s="7" t="n"/>
      <c r="N24" s="7" t="n"/>
      <c r="O24" s="7" t="n"/>
      <c r="P24" s="7" t="n"/>
    </row>
    <row r="25">
      <c r="A25" s="7" t="n"/>
      <c r="B25" s="7" t="n"/>
      <c r="C25" s="7" t="n"/>
      <c r="D25" s="7" t="n"/>
      <c r="E25" s="7" t="n"/>
      <c r="F25" s="7" t="n"/>
      <c r="G25" s="7" t="n"/>
      <c r="H25" s="7" t="n"/>
      <c r="I25" s="7" t="n"/>
      <c r="J25" s="7" t="n"/>
      <c r="K25" s="7" t="n"/>
      <c r="L25" s="7" t="n"/>
      <c r="M25" s="7" t="n"/>
      <c r="N25" s="7" t="n"/>
      <c r="O25" s="7" t="n"/>
      <c r="P25" s="7" t="n"/>
    </row>
    <row r="26">
      <c r="A26" s="7" t="n"/>
      <c r="B26" s="7" t="n"/>
      <c r="C26" s="7" t="n"/>
      <c r="D26" s="7" t="n"/>
      <c r="E26" s="7" t="n"/>
      <c r="F26" s="7" t="n"/>
      <c r="G26" s="7" t="n"/>
      <c r="H26" s="7" t="n"/>
      <c r="I26" s="7" t="n"/>
      <c r="J26" s="7" t="n"/>
      <c r="K26" s="7" t="n"/>
      <c r="L26" s="7" t="n"/>
      <c r="M26" s="7" t="n"/>
      <c r="N26" s="7" t="n"/>
      <c r="O26" s="7" t="n"/>
      <c r="P26" s="7" t="n"/>
    </row>
    <row r="27">
      <c r="A27" s="7" t="n"/>
      <c r="B27" s="7" t="n"/>
      <c r="C27" s="7" t="n"/>
      <c r="D27" s="7" t="n"/>
      <c r="E27" s="7" t="n"/>
      <c r="F27" s="7" t="n"/>
      <c r="G27" s="7" t="n"/>
      <c r="H27" s="7" t="n"/>
      <c r="I27" s="7" t="n"/>
      <c r="J27" s="7" t="n"/>
      <c r="K27" s="7" t="n"/>
      <c r="L27" s="7" t="n"/>
      <c r="M27" s="7" t="n"/>
      <c r="N27" s="7" t="n"/>
      <c r="O27" s="7" t="n"/>
      <c r="P27" s="7" t="n"/>
    </row>
    <row r="28">
      <c r="A28" s="7" t="n"/>
      <c r="B28" s="7" t="n"/>
      <c r="C28" s="7" t="n"/>
      <c r="D28" s="7" t="n"/>
      <c r="E28" s="7" t="n"/>
      <c r="F28" s="7" t="n"/>
      <c r="G28" s="7" t="n"/>
      <c r="H28" s="7" t="n"/>
      <c r="I28" s="7" t="n"/>
      <c r="J28" s="7" t="n"/>
      <c r="K28" s="7" t="n"/>
      <c r="L28" s="7" t="n"/>
      <c r="M28" s="7" t="n"/>
      <c r="N28" s="7" t="n"/>
      <c r="O28" s="7" t="n"/>
      <c r="P28" s="7" t="n"/>
    </row>
    <row r="29">
      <c r="A29" s="7" t="n"/>
      <c r="B29" s="7" t="n"/>
      <c r="C29" s="7" t="n"/>
      <c r="D29" s="7" t="n"/>
      <c r="E29" s="7" t="n"/>
      <c r="F29" s="7" t="n"/>
      <c r="G29" s="7" t="n"/>
      <c r="H29" s="7" t="n"/>
      <c r="I29" s="7" t="n"/>
      <c r="J29" s="7" t="n"/>
      <c r="K29" s="7" t="n"/>
      <c r="L29" s="7" t="n"/>
      <c r="M29" s="7" t="n"/>
      <c r="N29" s="7" t="n"/>
      <c r="O29" s="7" t="n"/>
      <c r="P29" s="7" t="n"/>
    </row>
    <row r="30">
      <c r="A30" s="7" t="n"/>
      <c r="B30" s="7" t="n"/>
      <c r="C30" s="7" t="n"/>
      <c r="D30" s="7" t="n"/>
      <c r="E30" s="7" t="n"/>
      <c r="F30" s="7" t="n"/>
      <c r="G30" s="7" t="n"/>
      <c r="H30" s="7" t="n"/>
      <c r="I30" s="7" t="n"/>
      <c r="J30" s="7" t="n"/>
      <c r="K30" s="7" t="n"/>
      <c r="L30" s="7" t="n"/>
      <c r="M30" s="7" t="n"/>
      <c r="N30" s="7" t="n"/>
      <c r="O30" s="7" t="n"/>
      <c r="P30" s="7" t="n"/>
    </row>
    <row r="31">
      <c r="A31" s="7" t="n"/>
      <c r="B31" s="7" t="n"/>
      <c r="C31" s="7" t="n"/>
      <c r="D31" s="7" t="n"/>
      <c r="E31" s="7" t="n"/>
      <c r="F31" s="7" t="n"/>
      <c r="G31" s="7" t="n"/>
      <c r="H31" s="7" t="n"/>
      <c r="I31" s="7" t="n"/>
      <c r="J31" s="7" t="n"/>
      <c r="K31" s="7" t="n"/>
      <c r="L31" s="7" t="n"/>
      <c r="M31" s="7" t="n"/>
      <c r="N31" s="7" t="n"/>
      <c r="O31" s="7" t="n"/>
      <c r="P31" s="7" t="n"/>
    </row>
    <row r="32">
      <c r="A32" s="7" t="n"/>
      <c r="B32" s="7" t="n"/>
      <c r="C32" s="7" t="n"/>
      <c r="D32" s="7" t="n"/>
      <c r="E32" s="7" t="n"/>
      <c r="F32" s="7" t="n"/>
      <c r="G32" s="7" t="n"/>
      <c r="H32" s="7" t="n"/>
      <c r="I32" s="7" t="n"/>
      <c r="J32" s="7" t="n"/>
      <c r="K32" s="7" t="n"/>
      <c r="L32" s="7" t="n"/>
      <c r="M32" s="7" t="n"/>
      <c r="N32" s="7" t="n"/>
      <c r="O32" s="7" t="n"/>
      <c r="P32" s="7" t="n"/>
    </row>
    <row r="33">
      <c r="A33" s="7" t="n"/>
      <c r="B33" s="7" t="n"/>
      <c r="C33" s="7" t="n"/>
      <c r="D33" s="7" t="n"/>
      <c r="E33" s="7" t="n"/>
      <c r="F33" s="7" t="n"/>
      <c r="G33" s="7" t="n"/>
      <c r="H33" s="7" t="n"/>
      <c r="I33" s="7" t="n"/>
      <c r="J33" s="7" t="n"/>
      <c r="K33" s="7" t="n"/>
      <c r="L33" s="7" t="n"/>
      <c r="M33" s="7" t="n"/>
      <c r="N33" s="7" t="n"/>
      <c r="O33" s="7" t="n"/>
      <c r="P33" s="7" t="n"/>
    </row>
  </sheetData>
  <mergeCells count="1">
    <mergeCell ref="A1:P1"/>
  </mergeCells>
  <dataValidations count="6">
    <dataValidation sqref="C4 C5 C6 C7 C8 C9 C10 C11 C12 C13 C14 C15 C16 C17 C18 C19 C20 C21 C22 C23 C24 C25 C26 C27 C28 C29 C30 C31 C32 C33" showDropDown="0" showInputMessage="0" showErrorMessage="0" allowBlank="0" type="list">
      <formula1>"ratio,reserve,compliance,timing,structural,behavioural,cash_sweep,credit_support,rating,liquidity,regulatory,capex_funding,incurrence,revolving_facility"</formula1>
    </dataValidation>
    <dataValidation sqref="D4 D5 D6 D7 D8 D9 D10 D11 D12 D13 D14 D15 D16 D17 D18 D19 D20 D21 D22 D23 D24 D25 D26 D27 D28 D29 D30 D31 D32 D33" showDropDown="0" showInputMessage="0" showErrorMessage="0" allowBlank="0" type="list">
      <formula1>"distribution_condition,trigger_event,cash_trap,remedial_plan,incurrence_test,event_of_default,sweep_mechanic"</formula1>
    </dataValidation>
    <dataValidation sqref="F4 F5 F6 F7 F8 F9 F10 F11 F12 F13 F14 F15 F16 F17 F18 F19 F20 F21 F22 F23 F24 F25 F26 F27 F28 F29 F30 F31 F32 F33" showDropDown="0" showInputMessage="0" showErrorMessage="0" allowBlank="0" type="list">
      <formula1>"min,max"</formula1>
    </dataValidation>
    <dataValidation sqref="I4 I5 I6 I7 I8 I9 I10 I11 I12 I13 I14 I15 I16 I17 I18 I19 I20 I21 I22 I23 I24 I25 I26 I27 I28 I29 I30 I31 I32 I33" showDropDown="0" showInputMessage="0" showErrorMessage="0" allowBlank="0" type="list">
      <formula1>"historic_12m,projected_12m,projected_24m,spot,average"</formula1>
    </dataValidation>
    <dataValidation sqref="J4 J5 J6 J7 J8 J9 J10 J11 J12 J13 J14 J15 J16 J17 J18 J19 J20 J21 J22 J23 J24 J25 J26 J27 J28 J29 J30 J31 J32 J33" showDropDown="0" showInputMessage="0" showErrorMessage="0" allowBlank="0" type="list">
      <formula1>"semi_annual,quarterly,annual,each_distribution,event_driven"</formula1>
    </dataValidation>
    <dataValidation sqref="K4 K5 K6 K7 K8 K9 K10 K11 K12 K13 K14 K15 K16 K17 K18 K19 K20 K21 K22 K23 K24 K25 K26 K27 K28 K29 K30 K31 K32 K33" showDropDown="0" showInputMessage="0" showErrorMessage="0" allowBlank="0"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2026-04-16T09:54:38Z</dcterms:created>
  <dcterms:modified xmlns:dcterms="http://purl.org/dc/terms/" xmlns:xsi="http://www.w3.org/2001/XMLSchema-instance" xsi:type="dcterms:W3CDTF">2026-04-19T01:02:50Z</dcterms:modified>
</cp:coreProperties>
</file>